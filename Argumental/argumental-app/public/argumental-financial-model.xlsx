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&quot;$&quot;#,##0"/>
    <numFmt numFmtId="166" formatCode="&quot;$&quot;#,##0.000"/>
    <numFmt numFmtId="167" formatCode="&quot;$&quot;0.00"/>
    <numFmt numFmtId="168" formatCode="#,##0&quot;x&quot;"/>
    <numFmt numFmtId="169" formatCode="&quot;$&quot;#,##0.00"/>
    <numFmt numFmtId="170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169" fontId="6" fillId="3" borderId="1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applyAlignment="1" pivotButton="0" quotePrefix="0" xfId="0">
      <alignment horizontal="center" vertical="center"/>
    </xf>
    <xf numFmtId="170" fontId="3" fillId="0" borderId="0" applyAlignment="1" pivotButton="0" quotePrefix="0" xfId="0">
      <alignment horizontal="right"/>
    </xf>
    <xf numFmtId="170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 · AGGRESSIVE CASE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renders the Aggressive scenario, the default case</t>
        </is>
      </c>
    </row>
    <row r="5">
      <c r="A5" s="3" t="inlineStr">
        <is>
          <t>shown on /deck and /model. Inputs come from</t>
        </is>
      </c>
    </row>
    <row r="6">
      <c r="A6" s="3" t="inlineStr">
        <is>
          <t>src/lib/financialModelInputs.json — the same file that drives the</t>
        </is>
      </c>
    </row>
    <row r="7">
      <c r="A7" s="3" t="inlineStr">
        <is>
          <t>TypeScript views.  Edit the JSON, re-run this script, and all three</t>
        </is>
      </c>
    </row>
    <row r="8">
      <c r="A8" s="3" t="inlineStr">
        <is>
          <t>(deck · dashboard · spreadsheet) stay in lockstep.</t>
        </is>
      </c>
    </row>
    <row r="9">
      <c r="A9" s="3" t="inlineStr"/>
    </row>
    <row r="10">
      <c r="A10" s="4" t="inlineStr">
        <is>
          <t>Tabs</t>
        </is>
      </c>
    </row>
    <row r="11">
      <c r="A11" s="3" t="inlineStr">
        <is>
          <t xml:space="preserve">  1. Read Me — this page.</t>
        </is>
      </c>
    </row>
    <row r="12">
      <c r="A12" s="3" t="inlineStr">
        <is>
          <t xml:space="preserve">  2. Assumptions — every input the model uses, in one place.</t>
        </is>
      </c>
    </row>
    <row r="13">
      <c r="A13" s="3" t="inlineStr">
        <is>
          <t xml:space="preserve">     Pale-blue cells = inputs; everything else is a formula.</t>
        </is>
      </c>
    </row>
    <row r="14">
      <c r="A14" s="3" t="inlineStr">
        <is>
          <t xml:space="preserve">  3. Bouts &amp; Audience — viewer ramp, replay reach, votes.</t>
        </is>
      </c>
    </row>
    <row r="15">
      <c r="A15" s="3" t="inlineStr">
        <is>
          <t xml:space="preserve">  4. P&amp;L (3-Year) — full revenue stack, variable costs, gross margin,</t>
        </is>
      </c>
    </row>
    <row r="16">
      <c r="A16" s="3" t="inlineStr">
        <is>
          <t xml:space="preserve">     fixed opex, EBITDA, year-over-year + 3-Yr total.</t>
        </is>
      </c>
    </row>
    <row r="17">
      <c r="A17" s="3" t="inlineStr">
        <is>
          <t xml:space="preserve">  5. Unit Economics — per-bout contribution margin, three audience scales.</t>
        </is>
      </c>
    </row>
    <row r="18">
      <c r="A18" s="3" t="inlineStr"/>
    </row>
    <row r="19">
      <c r="A19" s="4" t="inlineStr">
        <is>
          <t>Year 1 stated goal</t>
        </is>
      </c>
    </row>
    <row r="20">
      <c r="A20" s="3" t="inlineStr">
        <is>
          <t xml:space="preserve">  · 60,000 live viewers per bout by end of Year 1.</t>
        </is>
      </c>
    </row>
    <row r="21">
      <c r="A21" s="3" t="inlineStr"/>
    </row>
    <row r="22">
      <c r="A22" s="4" t="inlineStr">
        <is>
          <t>Reach assumption — the 41× multiplier</t>
        </is>
      </c>
    </row>
    <row r="23">
      <c r="A23" s="3" t="inlineStr">
        <is>
          <t xml:space="preserve">  · 41× total impressions per bout (live + post-live replay).</t>
        </is>
      </c>
    </row>
    <row r="24">
      <c r="A24" s="3" t="inlineStr">
        <is>
          <t xml:space="preserve">  · 80% of replay viewing happens off-platform on FB / TikTok / YouTube.</t>
        </is>
      </c>
    </row>
    <row r="25">
      <c r="A25" s="3" t="inlineStr">
        <is>
          <t xml:space="preserve">    Mux delivers only the on-platform portion; off-platform impressions</t>
        </is>
      </c>
    </row>
    <row r="26">
      <c r="A26" s="3" t="inlineStr">
        <is>
          <t xml:space="preserve">    earn ad share from the host platforms.</t>
        </is>
      </c>
    </row>
    <row r="27">
      <c r="A27" s="3" t="inlineStr"/>
    </row>
    <row r="28">
      <c r="A28" s="4" t="inlineStr">
        <is>
          <t>What the aggressive case has built in</t>
        </is>
      </c>
    </row>
    <row r="29">
      <c r="A29" s="3" t="inlineStr">
        <is>
          <t xml:space="preserve">  · Voting revenue at $5 / vote, $10 / week cap, gated by live reach.</t>
        </is>
      </c>
    </row>
    <row r="30">
      <c r="A30" s="3" t="inlineStr">
        <is>
          <t xml:space="preserve">  · Sponsorship — title slots ramping from Y1 to full cadence in Y3.</t>
        </is>
      </c>
    </row>
    <row r="31">
      <c r="A31" s="3" t="inlineStr">
        <is>
          <t xml:space="preserve">  · Premium subscription — $7 / month archive + AMA tier.</t>
        </is>
      </c>
    </row>
    <row r="32">
      <c r="A32" s="3" t="inlineStr">
        <is>
          <t xml:space="preserve">  · Live championship ticketing — physical events Y2 and Y3.</t>
        </is>
      </c>
    </row>
    <row r="33">
      <c r="A33" s="3" t="inlineStr">
        <is>
          <t xml:space="preserve">  · Merch + international format licensing.</t>
        </is>
      </c>
    </row>
    <row r="34">
      <c r="A34" s="3" t="inlineStr">
        <is>
          <t xml:space="preserve">  · YouTube ad share at $1.50 CPM on off-platform replay views.</t>
        </is>
      </c>
    </row>
    <row r="35">
      <c r="A35" s="3" t="inlineStr">
        <is>
          <t xml:space="preserve">  · Off-platform replay distribution (saves Mux delivery cost).</t>
        </is>
      </c>
    </row>
    <row r="36">
      <c r="A36" s="3" t="inlineStr">
        <is>
          <t xml:space="preserve">  · Honoraria: Y1 flat $10K, Y2/Y3 revenue share (5% / 3% of bout purse).</t>
        </is>
      </c>
    </row>
    <row r="37">
      <c r="A37" s="3" t="inlineStr">
        <is>
          <t xml:space="preserve">  · Charity payout 18% of voting revenue, accounted as COGS.</t>
        </is>
      </c>
    </row>
    <row r="38">
      <c r="A38" s="3" t="inlineStr">
        <is>
          <t xml:space="preserve">  · Mux enterprise rate by Y3 ($0.025 / viewer-hr).</t>
        </is>
      </c>
    </row>
    <row r="39">
      <c r="A39" s="3" t="inlineStr">
        <is>
          <t xml:space="preserve">  · Lean headcount: 4 → 7 → 10 FTE.</t>
        </is>
      </c>
    </row>
    <row r="40">
      <c r="A40" s="3" t="inlineStr"/>
    </row>
    <row r="41">
      <c r="A41" s="4" t="inlineStr">
        <is>
          <t>What this model deliberately omits</t>
        </is>
      </c>
    </row>
    <row r="42">
      <c r="A42" s="3" t="inlineStr">
        <is>
          <t xml:space="preserve">  · Working-capital and payment-processor float.</t>
        </is>
      </c>
    </row>
    <row r="43">
      <c r="A43" s="3" t="inlineStr">
        <is>
          <t xml:space="preserve">  · Tax — model is pre-tax EBITDA only.</t>
        </is>
      </c>
    </row>
    <row r="44">
      <c r="A44" s="3" t="inlineStr"/>
    </row>
    <row r="45">
      <c r="A45" s="3" t="inlineStr">
        <is>
          <t>For the conservative floor case (voting only, full headcount, no</t>
        </is>
      </c>
    </row>
    <row r="46">
      <c r="A46" s="3" t="inlineStr">
        <is>
          <t>off-platform replay), see /model?scenario=conservative on the website.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AGGRESSIVE SCENARIO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6" t="inlineStr">
        <is>
          <t>2026 (Y1)</t>
        </is>
      </c>
      <c r="C4" s="6" t="inlineStr">
        <is>
          <t>2027 (Y2)</t>
        </is>
      </c>
      <c r="D4" s="6" t="inlineStr">
        <is>
          <t>2028 (Y3)</t>
        </is>
      </c>
      <c r="E4" s="6" t="inlineStr">
        <is>
          <t>Notes</t>
        </is>
      </c>
    </row>
    <row r="6" ht="22" customHeight="1">
      <c r="A6" s="5" t="inlineStr">
        <is>
          <t>AUDIENCE &amp; ENGAGEMENT</t>
        </is>
      </c>
      <c r="B6" s="7" t="n"/>
      <c r="C6" s="7" t="n"/>
      <c r="D6" s="7" t="n"/>
      <c r="E6" s="7" t="n"/>
    </row>
    <row r="7">
      <c r="A7" s="8" t="inlineStr">
        <is>
          <t>Bouts per year</t>
        </is>
      </c>
      <c r="B7" s="9" t="n">
        <v>24</v>
      </c>
      <c r="C7" s="9" t="n">
        <v>48</v>
      </c>
      <c r="D7" s="9" t="n">
        <v>48</v>
      </c>
      <c r="E7" s="10" t="inlineStr">
        <is>
          <t>1 / Sunday</t>
        </is>
      </c>
    </row>
    <row r="8">
      <c r="A8" s="8" t="inlineStr">
        <is>
          <t>Avg concurrent live viewers / bout</t>
        </is>
      </c>
      <c r="B8" s="9" t="n">
        <v>60000</v>
      </c>
      <c r="C8" s="9" t="n">
        <v>100000</v>
      </c>
      <c r="D8" s="9" t="n">
        <v>125000</v>
      </c>
      <c r="E8" s="10" t="inlineStr">
        <is>
          <t>Y1 EOY peak target: 60,000</t>
        </is>
      </c>
    </row>
    <row r="9">
      <c r="A9" s="8" t="inlineStr">
        <is>
          <t>% of viewers who vote</t>
        </is>
      </c>
      <c r="B9" s="11" t="n">
        <v>0.06</v>
      </c>
      <c r="C9" s="11" t="n">
        <v>0.1</v>
      </c>
      <c r="D9" s="11" t="n">
        <v>0.12</v>
      </c>
      <c r="E9" s="10" t="inlineStr">
        <is>
          <t>Single $5 vote</t>
        </is>
      </c>
    </row>
    <row r="10">
      <c r="A10" s="8" t="inlineStr">
        <is>
          <t>Avg vote price (USD)</t>
        </is>
      </c>
      <c r="B10" s="12" t="n">
        <v>5</v>
      </c>
      <c r="C10" s="12" t="n">
        <v>5</v>
      </c>
      <c r="D10" s="12" t="n">
        <v>5</v>
      </c>
      <c r="E10" s="10" t="inlineStr">
        <is>
          <t>Fixed</t>
        </is>
      </c>
    </row>
    <row r="12" ht="22" customHeight="1">
      <c r="A12" s="5" t="inlineStr">
        <is>
          <t>SPONSORSHIP</t>
        </is>
      </c>
      <c r="B12" s="7" t="n"/>
      <c r="C12" s="7" t="n"/>
      <c r="D12" s="7" t="n"/>
      <c r="E12" s="7" t="n"/>
    </row>
    <row r="13">
      <c r="A13" s="8" t="inlineStr">
        <is>
          <t>Sponsor revenue / bout (USD)</t>
        </is>
      </c>
      <c r="B13" s="12" t="n">
        <v>0</v>
      </c>
      <c r="C13" s="12" t="n">
        <v>25000</v>
      </c>
      <c r="D13" s="12" t="n">
        <v>50000</v>
      </c>
      <c r="E13" s="10" t="inlineStr">
        <is>
          <t>Title slot · 41× reach</t>
        </is>
      </c>
    </row>
    <row r="14">
      <c r="A14" s="8" t="inlineStr">
        <is>
          <t>Sponsored bouts (% of cadence)</t>
        </is>
      </c>
      <c r="B14" s="13" t="n">
        <v>0</v>
      </c>
      <c r="C14" s="13" t="n">
        <v>0.5</v>
      </c>
      <c r="D14" s="13" t="n">
        <v>1</v>
      </c>
      <c r="E14" s="10" t="inlineStr">
        <is>
          <t>Brand fit</t>
        </is>
      </c>
    </row>
    <row r="16" ht="22" customHeight="1">
      <c r="A16" s="5" t="inlineStr">
        <is>
          <t>VARIABLE COSTS  ·  PER BOUT</t>
        </is>
      </c>
      <c r="B16" s="7" t="n"/>
      <c r="C16" s="7" t="n"/>
      <c r="D16" s="7" t="n"/>
      <c r="E16" s="7" t="n"/>
    </row>
    <row r="17">
      <c r="A17" s="8" t="inlineStr">
        <is>
          <t>Mux delivery $/viewer-hour</t>
        </is>
      </c>
      <c r="B17" s="14" t="n">
        <v>0.06</v>
      </c>
      <c r="C17" s="14" t="n">
        <v>0.05</v>
      </c>
      <c r="D17" s="14" t="n">
        <v>0.025</v>
      </c>
      <c r="E17" s="10" t="inlineStr">
        <is>
          <t>Y3 = enterprise rate</t>
        </is>
      </c>
    </row>
    <row r="18">
      <c r="A18" s="8" t="inlineStr">
        <is>
          <t>Mux ingest $/bout (2 streams)</t>
        </is>
      </c>
      <c r="B18" s="12" t="n">
        <v>8</v>
      </c>
      <c r="C18" s="12" t="n">
        <v>8</v>
      </c>
      <c r="D18" s="12" t="n">
        <v>8</v>
      </c>
      <c r="E18" s="10" t="inlineStr">
        <is>
          <t>24m × 2 streams</t>
        </is>
      </c>
    </row>
    <row r="19">
      <c r="A19" s="8" t="inlineStr">
        <is>
          <t>Stripe rate (% of vote rev)</t>
        </is>
      </c>
      <c r="B19" s="11" t="n">
        <v>0.029</v>
      </c>
      <c r="C19" s="11" t="n">
        <v>0.029</v>
      </c>
      <c r="D19" s="11" t="n">
        <v>0.029</v>
      </c>
      <c r="E19" s="10" t="inlineStr">
        <is>
          <t>+ $0.30/vote</t>
        </is>
      </c>
    </row>
    <row r="20">
      <c r="A20" s="8" t="inlineStr">
        <is>
          <t>Stripe per-vote fee</t>
        </is>
      </c>
      <c r="B20" s="15" t="n">
        <v>0.3</v>
      </c>
      <c r="C20" s="15" t="n">
        <v>0.3</v>
      </c>
      <c r="D20" s="15" t="n">
        <v>0.3</v>
      </c>
      <c r="E20" s="10" t="inlineStr">
        <is>
          <t>Flat</t>
        </is>
      </c>
    </row>
    <row r="21">
      <c r="A21" s="8" t="inlineStr">
        <is>
          <t>Charity payout (% of vote rev)</t>
        </is>
      </c>
      <c r="B21" s="13" t="n">
        <v>0.18</v>
      </c>
      <c r="C21" s="13" t="n">
        <v>0.18</v>
      </c>
      <c r="D21" s="13" t="n">
        <v>0.18</v>
      </c>
      <c r="E21" s="10" t="inlineStr">
        <is>
          <t>18% donor model</t>
        </is>
      </c>
    </row>
    <row r="22">
      <c r="A22" s="8" t="inlineStr">
        <is>
          <t>Debater honorarium / bout</t>
        </is>
      </c>
      <c r="B22" s="12" t="n">
        <v>10000</v>
      </c>
      <c r="C22" s="16">
        <f>C8*C9*C10*0.05</f>
        <v/>
      </c>
      <c r="D22" s="16">
        <f>D8*D9*D10*0.03</f>
        <v/>
      </c>
      <c r="E22" s="10" t="inlineStr">
        <is>
          <t>Y1 flat $10,000 · Y2 5% · Y3 3% of purse</t>
        </is>
      </c>
    </row>
    <row r="23">
      <c r="A23" s="8" t="inlineStr">
        <is>
          <t>Production / bout</t>
        </is>
      </c>
      <c r="B23" s="12" t="n">
        <v>10000</v>
      </c>
      <c r="C23" s="12" t="n">
        <v>10000</v>
      </c>
      <c r="D23" s="12" t="n">
        <v>10000</v>
      </c>
      <c r="E23" s="10" t="inlineStr">
        <is>
          <t>Studio + crew</t>
        </is>
      </c>
    </row>
    <row r="25" ht="22" customHeight="1">
      <c r="A25" s="5" t="inlineStr">
        <is>
          <t>FIXED COSTS  ·  PER YEAR</t>
        </is>
      </c>
      <c r="B25" s="7" t="n"/>
      <c r="C25" s="7" t="n"/>
      <c r="D25" s="7" t="n"/>
      <c r="E25" s="7" t="n"/>
    </row>
    <row r="26">
      <c r="A26" s="8" t="inlineStr">
        <is>
          <t>Headcount (FTE)</t>
        </is>
      </c>
      <c r="B26" s="9" t="n">
        <v>1</v>
      </c>
      <c r="C26" s="9" t="n">
        <v>5</v>
      </c>
      <c r="D26" s="9" t="n">
        <v>9</v>
      </c>
      <c r="E26" s="10" t="inlineStr">
        <is>
          <t>Avg loaded ~$185K</t>
        </is>
      </c>
    </row>
    <row r="27">
      <c r="A27" s="8" t="inlineStr">
        <is>
          <t>Loaded cost per FTE</t>
        </is>
      </c>
      <c r="B27" s="12" t="n">
        <v>180000</v>
      </c>
      <c r="C27" s="12" t="n">
        <v>185000</v>
      </c>
      <c r="D27" s="12" t="n">
        <v>190000</v>
      </c>
      <c r="E27" s="10" t="inlineStr">
        <is>
          <t>Salary + benefits</t>
        </is>
      </c>
    </row>
    <row r="28">
      <c r="A28" s="8" t="inlineStr">
        <is>
          <t>Paid search &amp; acquisition</t>
        </is>
      </c>
      <c r="B28" s="12" t="n">
        <v>48000</v>
      </c>
      <c r="C28" s="12" t="n">
        <v>240000</v>
      </c>
      <c r="D28" s="12" t="n">
        <v>360000</v>
      </c>
      <c r="E28" s="10" t="inlineStr">
        <is>
          <t>$10K/mo Y1</t>
        </is>
      </c>
    </row>
    <row r="29">
      <c r="A29" s="8" t="inlineStr">
        <is>
          <t>Brand &amp; creator marketing</t>
        </is>
      </c>
      <c r="B29" s="12" t="n">
        <v>20000</v>
      </c>
      <c r="C29" s="12" t="n">
        <v>240000</v>
      </c>
      <c r="D29" s="12" t="n">
        <v>480000</v>
      </c>
      <c r="E29" s="10" t="inlineStr">
        <is>
          <t>Sponsored clips</t>
        </is>
      </c>
    </row>
    <row r="30">
      <c r="A30" s="8" t="inlineStr">
        <is>
          <t>G&amp;A, tooling, infra</t>
        </is>
      </c>
      <c r="B30" s="12" t="n">
        <v>30000</v>
      </c>
      <c r="C30" s="12" t="n">
        <v>120000</v>
      </c>
      <c r="D30" s="12" t="n">
        <v>200000</v>
      </c>
      <c r="E30" s="10" t="inlineStr">
        <is>
          <t>Office, software</t>
        </is>
      </c>
    </row>
    <row r="31">
      <c r="A31" s="8" t="inlineStr">
        <is>
          <t>Legal, accounting, insurance</t>
        </is>
      </c>
      <c r="B31" s="12" t="n">
        <v>25000</v>
      </c>
      <c r="C31" s="12" t="n">
        <v>90000</v>
      </c>
      <c r="D31" s="12" t="n">
        <v>140000</v>
      </c>
      <c r="E31" s="10" t="inlineStr">
        <is>
          <t>Outside counsel</t>
        </is>
      </c>
    </row>
    <row r="33" ht="22" customHeight="1">
      <c r="A33" s="5" t="inlineStr">
        <is>
          <t>AUDIENCE BEHAVIOR</t>
        </is>
      </c>
      <c r="B33" s="7" t="n"/>
      <c r="C33" s="7" t="n"/>
      <c r="D33" s="7" t="n"/>
      <c r="E33" s="7" t="n"/>
    </row>
    <row r="34">
      <c r="A34" s="8" t="inlineStr">
        <is>
          <t>Avg minutes watched / live viewer</t>
        </is>
      </c>
      <c r="B34" s="9" t="n">
        <v>16</v>
      </c>
      <c r="C34" s="9" t="n">
        <v>18</v>
      </c>
      <c r="D34" s="9" t="n">
        <v>20</v>
      </c>
      <c r="E34" s="10" t="inlineStr">
        <is>
          <t>Drives Mux live-delivery cost</t>
        </is>
      </c>
    </row>
    <row r="35">
      <c r="A35" s="8" t="inlineStr">
        <is>
          <t>Post-live replay multiplier</t>
        </is>
      </c>
      <c r="B35" s="17" t="n">
        <v>40</v>
      </c>
      <c r="C35" s="17" t="n">
        <v>40</v>
      </c>
      <c r="D35" s="17" t="n">
        <v>40</v>
      </c>
      <c r="E35" s="10" t="inlineStr">
        <is>
          <t>Replay views = live × this</t>
        </is>
      </c>
    </row>
    <row r="36">
      <c r="A36" s="8" t="inlineStr">
        <is>
          <t>Avg minutes watched / replay viewer</t>
        </is>
      </c>
      <c r="B36" s="9" t="n">
        <v>4</v>
      </c>
      <c r="C36" s="9" t="n">
        <v>5</v>
      </c>
      <c r="D36" s="9" t="n">
        <v>6</v>
      </c>
      <c r="E36" s="10" t="inlineStr">
        <is>
          <t>Highlights &amp; clips</t>
        </is>
      </c>
    </row>
    <row r="38" ht="22" customHeight="1">
      <c r="A38" s="5" t="inlineStr">
        <is>
          <t>PLATFORM REVENUE &amp; DISTRIBUTION</t>
        </is>
      </c>
      <c r="B38" s="7" t="n"/>
      <c r="C38" s="7" t="n"/>
      <c r="D38" s="7" t="n"/>
      <c r="E38" s="7" t="n"/>
    </row>
    <row r="39">
      <c r="A39" s="8" t="inlineStr">
        <is>
          <t>Premium subscribers (year-end)</t>
        </is>
      </c>
      <c r="B39" s="9" t="n">
        <v>0</v>
      </c>
      <c r="C39" s="9" t="n">
        <v>5000</v>
      </c>
      <c r="D39" s="9" t="n">
        <v>10000</v>
      </c>
      <c r="E39" s="10" t="inlineStr">
        <is>
          <t>Archive + AMAs</t>
        </is>
      </c>
    </row>
    <row r="40">
      <c r="A40" s="8" t="inlineStr">
        <is>
          <t>Premium price / mo</t>
        </is>
      </c>
      <c r="B40" s="12" t="n">
        <v>7</v>
      </c>
      <c r="C40" s="12" t="n">
        <v>7</v>
      </c>
      <c r="D40" s="12" t="n">
        <v>7</v>
      </c>
      <c r="E40" s="10" t="inlineStr">
        <is>
          <t>Flat across years</t>
        </is>
      </c>
    </row>
    <row r="41">
      <c r="A41" s="8" t="inlineStr">
        <is>
          <t>Live championship events / yr</t>
        </is>
      </c>
      <c r="B41" s="9" t="n">
        <v>0</v>
      </c>
      <c r="C41" s="9" t="n">
        <v>1</v>
      </c>
      <c r="D41" s="9" t="n">
        <v>2</v>
      </c>
      <c r="E41" s="10" t="inlineStr">
        <is>
          <t>Physical venue</t>
        </is>
      </c>
    </row>
    <row r="42">
      <c r="A42" s="8" t="inlineStr">
        <is>
          <t>Seats per event</t>
        </is>
      </c>
      <c r="B42" s="9" t="n">
        <v>1500</v>
      </c>
      <c r="C42" s="9" t="n">
        <v>1500</v>
      </c>
      <c r="D42" s="9" t="n">
        <v>1500</v>
      </c>
    </row>
    <row r="43">
      <c r="A43" s="8" t="inlineStr">
        <is>
          <t>Avg ticket price</t>
        </is>
      </c>
      <c r="B43" s="12" t="n">
        <v>150</v>
      </c>
      <c r="C43" s="12" t="n">
        <v>150</v>
      </c>
      <c r="D43" s="12" t="n">
        <v>150</v>
      </c>
    </row>
    <row r="44">
      <c r="A44" s="8" t="inlineStr">
        <is>
          <t>Merch annual revenue</t>
        </is>
      </c>
      <c r="B44" s="12" t="n">
        <v>0</v>
      </c>
      <c r="C44" s="12" t="n">
        <v>50000</v>
      </c>
      <c r="D44" s="12" t="n">
        <v>150000</v>
      </c>
      <c r="E44" s="10" t="inlineStr">
        <is>
          <t>Belts, jerseys, books</t>
        </is>
      </c>
    </row>
    <row r="45">
      <c r="A45" s="8" t="inlineStr">
        <is>
          <t>International licensing</t>
        </is>
      </c>
      <c r="B45" s="12" t="n">
        <v>0</v>
      </c>
      <c r="C45" s="12" t="n">
        <v>0</v>
      </c>
      <c r="D45" s="12" t="n">
        <v>250000</v>
      </c>
      <c r="E45" s="10" t="inlineStr">
        <is>
          <t>Format · territories</t>
        </is>
      </c>
    </row>
    <row r="46">
      <c r="A46" s="8" t="inlineStr">
        <is>
          <t>Off-platform replay %</t>
        </is>
      </c>
      <c r="B46" s="13" t="n">
        <v>0.8</v>
      </c>
      <c r="C46" s="13" t="n">
        <v>0.8</v>
      </c>
      <c r="D46" s="13" t="n">
        <v>0.8</v>
      </c>
      <c r="E46" s="10" t="inlineStr">
        <is>
          <t>FB · TikTok · YouTube share of replay</t>
        </is>
      </c>
    </row>
    <row r="47">
      <c r="A47" s="8" t="inlineStr">
        <is>
          <t>Ad-share CPM (off-platform)</t>
        </is>
      </c>
      <c r="B47" s="18" t="n">
        <v>1.5</v>
      </c>
      <c r="C47" s="18" t="n">
        <v>1.5</v>
      </c>
      <c r="D47" s="18" t="n">
        <v>1.5</v>
      </c>
      <c r="E47" s="10" t="inlineStr">
        <is>
          <t>YouTube AdSense estimate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6" t="inlineStr">
        <is>
          <t>2026</t>
        </is>
      </c>
      <c r="C4" s="6" t="inlineStr">
        <is>
          <t>2027</t>
        </is>
      </c>
      <c r="D4" s="6" t="inlineStr">
        <is>
          <t>2028</t>
        </is>
      </c>
      <c r="E4" s="6" t="inlineStr">
        <is>
          <t>3-Yr Total</t>
        </is>
      </c>
    </row>
    <row r="6">
      <c r="A6" s="8" t="inlineStr">
        <is>
          <t>Bouts per year</t>
        </is>
      </c>
      <c r="B6" s="19">
        <f>Assumptions!B7</f>
        <v/>
      </c>
      <c r="C6" s="19">
        <f>Assumptions!C7</f>
        <v/>
      </c>
      <c r="D6" s="19">
        <f>Assumptions!D7</f>
        <v/>
      </c>
      <c r="E6" s="20">
        <f>SUM(B6:D6)</f>
        <v/>
      </c>
    </row>
    <row r="7">
      <c r="A7" s="8" t="inlineStr">
        <is>
          <t>Avg concurrent live viewers / bout</t>
        </is>
      </c>
      <c r="B7" s="19">
        <f>Assumptions!B8</f>
        <v/>
      </c>
      <c r="C7" s="19">
        <f>Assumptions!C8</f>
        <v/>
      </c>
      <c r="D7" s="19">
        <f>Assumptions!D8</f>
        <v/>
      </c>
    </row>
    <row r="8">
      <c r="A8" s="8" t="inlineStr">
        <is>
          <t>Annual viewer-bouts (live)</t>
        </is>
      </c>
      <c r="B8" s="19">
        <f>B6*B7</f>
        <v/>
      </c>
      <c r="C8" s="19">
        <f>C6*C7</f>
        <v/>
      </c>
      <c r="D8" s="19">
        <f>D6*D7</f>
        <v/>
      </c>
      <c r="E8" s="20">
        <f>SUM(B8:D8)</f>
        <v/>
      </c>
    </row>
    <row r="9">
      <c r="A9" s="8" t="inlineStr">
        <is>
          <t>Voter conversion rate</t>
        </is>
      </c>
      <c r="B9" s="21">
        <f>Assumptions!B9</f>
        <v/>
      </c>
      <c r="C9" s="21">
        <f>Assumptions!C9</f>
        <v/>
      </c>
      <c r="D9" s="21">
        <f>Assumptions!D9</f>
        <v/>
      </c>
    </row>
    <row r="10">
      <c r="A10" s="8" t="inlineStr">
        <is>
          <t>Votes per bout</t>
        </is>
      </c>
      <c r="B10" s="19">
        <f>B7*B9</f>
        <v/>
      </c>
      <c r="C10" s="19">
        <f>C7*C9</f>
        <v/>
      </c>
      <c r="D10" s="19">
        <f>D7*D9</f>
        <v/>
      </c>
    </row>
    <row r="11">
      <c r="A11" s="8" t="inlineStr">
        <is>
          <t>Annual votes</t>
        </is>
      </c>
      <c r="B11" s="20">
        <f>B6*B10</f>
        <v/>
      </c>
      <c r="C11" s="20">
        <f>C6*C10</f>
        <v/>
      </c>
      <c r="D11" s="20">
        <f>D6*D10</f>
        <v/>
      </c>
      <c r="E11" s="20">
        <f>SUM(B11:D11)</f>
        <v/>
      </c>
    </row>
    <row r="13">
      <c r="A13" s="8" t="inlineStr">
        <is>
          <t>Avg minutes watched / live viewer</t>
        </is>
      </c>
      <c r="B13" s="19">
        <f>Assumptions!B34</f>
        <v/>
      </c>
      <c r="C13" s="19">
        <f>Assumptions!C34</f>
        <v/>
      </c>
      <c r="D13" s="19">
        <f>Assumptions!D34</f>
        <v/>
      </c>
    </row>
    <row r="14">
      <c r="A14" s="8" t="inlineStr">
        <is>
          <t>Annual viewer-hours delivered (Mux)</t>
        </is>
      </c>
      <c r="B14" s="20">
        <f>B6*(B7*B13+B7*Assumptions!B35*Assumptions!B36*(1-Assumptions!B46))/60</f>
        <v/>
      </c>
      <c r="C14" s="20">
        <f>C6*(C7*C13+C7*Assumptions!C35*Assumptions!C36*(1-Assumptions!C46))/60</f>
        <v/>
      </c>
      <c r="D14" s="20">
        <f>D6*(D7*D13+D7*Assumptions!D35*Assumptions!D36*(1-Assumptions!D46))/60</f>
        <v/>
      </c>
      <c r="E14" s="20">
        <f>SUM(B14:D14)</f>
        <v/>
      </c>
    </row>
    <row r="16" ht="22" customHeight="1">
      <c r="A16" s="22" t="inlineStr">
        <is>
          <t>REACH BEYOND LIVE</t>
        </is>
      </c>
      <c r="B16" s="23" t="n"/>
      <c r="C16" s="23" t="n"/>
      <c r="D16" s="23" t="n"/>
      <c r="E16" s="23" t="n"/>
    </row>
    <row r="17">
      <c r="A17" s="8" t="inlineStr">
        <is>
          <t>Post-live replay multiplier</t>
        </is>
      </c>
      <c r="B17" s="24">
        <f>Assumptions!B35</f>
        <v/>
      </c>
      <c r="C17" s="24">
        <f>Assumptions!C35</f>
        <v/>
      </c>
      <c r="D17" s="24">
        <f>Assumptions!D35</f>
        <v/>
      </c>
    </row>
    <row r="18">
      <c r="A18" s="8" t="inlineStr">
        <is>
          <t>Replay viewers / bout</t>
        </is>
      </c>
      <c r="B18" s="19">
        <f>B7*B17</f>
        <v/>
      </c>
      <c r="C18" s="19">
        <f>C7*C17</f>
        <v/>
      </c>
      <c r="D18" s="19">
        <f>D7*D17</f>
        <v/>
      </c>
    </row>
    <row r="19">
      <c r="A19" s="8" t="inlineStr">
        <is>
          <t>Total reach / bout (live + replay)</t>
        </is>
      </c>
      <c r="B19" s="19">
        <f>B7+B18</f>
        <v/>
      </c>
      <c r="C19" s="19">
        <f>C7+C18</f>
        <v/>
      </c>
      <c r="D19" s="19">
        <f>D7+D18</f>
        <v/>
      </c>
    </row>
    <row r="20">
      <c r="A20" s="8" t="inlineStr">
        <is>
          <t>Annual total impressions</t>
        </is>
      </c>
      <c r="B20" s="20">
        <f>B6*B19</f>
        <v/>
      </c>
      <c r="C20" s="20">
        <f>C6*C19</f>
        <v/>
      </c>
      <c r="D20" s="20">
        <f>D6*D19</f>
        <v/>
      </c>
      <c r="E20" s="20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FULL P&amp;L  ·  REVENUE  ·  COGS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6" t="inlineStr">
        <is>
          <t>2026</t>
        </is>
      </c>
      <c r="C4" s="6" t="inlineStr">
        <is>
          <t>2027</t>
        </is>
      </c>
      <c r="D4" s="6" t="inlineStr">
        <is>
          <t>2028</t>
        </is>
      </c>
      <c r="E4" s="6" t="inlineStr">
        <is>
          <t>3-Yr Total</t>
        </is>
      </c>
    </row>
    <row r="6" ht="22" customHeight="1">
      <c r="A6" s="25" t="inlineStr">
        <is>
          <t>REVENUE</t>
        </is>
      </c>
      <c r="B6" s="26" t="n"/>
      <c r="C6" s="26" t="n"/>
      <c r="D6" s="26" t="n"/>
      <c r="E6" s="26" t="n"/>
    </row>
    <row r="7">
      <c r="A7" s="8" t="inlineStr">
        <is>
          <t>Voting revenue</t>
        </is>
      </c>
      <c r="B7" s="27">
        <f>'Bouts &amp; Audience'!B11*Assumptions!B10</f>
        <v/>
      </c>
      <c r="C7" s="27">
        <f>'Bouts &amp; Audience'!C11*Assumptions!C10</f>
        <v/>
      </c>
      <c r="D7" s="27">
        <f>'Bouts &amp; Audience'!D11*Assumptions!D10</f>
        <v/>
      </c>
      <c r="E7" s="27">
        <f>SUM(B7:D7)</f>
        <v/>
      </c>
    </row>
    <row r="8">
      <c r="A8" s="8" t="inlineStr">
        <is>
          <t>Sponsor revenue</t>
        </is>
      </c>
      <c r="B8" s="27">
        <f>Assumptions!B7*Assumptions!B14*Assumptions!B13</f>
        <v/>
      </c>
      <c r="C8" s="27">
        <f>Assumptions!C7*Assumptions!C14*Assumptions!C13</f>
        <v/>
      </c>
      <c r="D8" s="27">
        <f>Assumptions!D7*Assumptions!D14*Assumptions!D13</f>
        <v/>
      </c>
      <c r="E8" s="27">
        <f>SUM(B8:D8)</f>
        <v/>
      </c>
    </row>
    <row r="9">
      <c r="A9" s="8" t="inlineStr">
        <is>
          <t>Premium subscriptions</t>
        </is>
      </c>
      <c r="B9" s="27">
        <f>Assumptions!B39*Assumptions!B40*12</f>
        <v/>
      </c>
      <c r="C9" s="27">
        <f>Assumptions!C39*Assumptions!C40*12</f>
        <v/>
      </c>
      <c r="D9" s="27">
        <f>Assumptions!D39*Assumptions!D40*12</f>
        <v/>
      </c>
      <c r="E9" s="27">
        <f>SUM(B9:D9)</f>
        <v/>
      </c>
    </row>
    <row r="10">
      <c r="A10" s="8" t="inlineStr">
        <is>
          <t>Live championship ticketing</t>
        </is>
      </c>
      <c r="B10" s="27">
        <f>Assumptions!B41*Assumptions!B42*Assumptions!B43</f>
        <v/>
      </c>
      <c r="C10" s="27">
        <f>Assumptions!C41*Assumptions!C42*Assumptions!C43</f>
        <v/>
      </c>
      <c r="D10" s="27">
        <f>Assumptions!D41*Assumptions!D42*Assumptions!D43</f>
        <v/>
      </c>
      <c r="E10" s="27">
        <f>SUM(B10:D10)</f>
        <v/>
      </c>
    </row>
    <row r="11">
      <c r="A11" s="8" t="inlineStr">
        <is>
          <t>Merch</t>
        </is>
      </c>
      <c r="B11" s="27">
        <f>Assumptions!B44</f>
        <v/>
      </c>
      <c r="C11" s="27">
        <f>Assumptions!C44</f>
        <v/>
      </c>
      <c r="D11" s="27">
        <f>Assumptions!D44</f>
        <v/>
      </c>
      <c r="E11" s="27">
        <f>SUM(B11:D11)</f>
        <v/>
      </c>
    </row>
    <row r="12">
      <c r="A12" s="8" t="inlineStr">
        <is>
          <t>International licensing</t>
        </is>
      </c>
      <c r="B12" s="27">
        <f>Assumptions!B45</f>
        <v/>
      </c>
      <c r="C12" s="27">
        <f>Assumptions!C45</f>
        <v/>
      </c>
      <c r="D12" s="27">
        <f>Assumptions!D45</f>
        <v/>
      </c>
      <c r="E12" s="27">
        <f>SUM(B12:D12)</f>
        <v/>
      </c>
    </row>
    <row r="13">
      <c r="A13" s="8" t="inlineStr">
        <is>
          <t>YouTube ad share</t>
        </is>
      </c>
      <c r="B13" s="27">
        <f>Assumptions!B7*Assumptions!B8*Assumptions!B35*Assumptions!B46*Assumptions!B47/1000</f>
        <v/>
      </c>
      <c r="C13" s="27">
        <f>Assumptions!C7*Assumptions!C8*Assumptions!C35*Assumptions!C46*Assumptions!C47/1000</f>
        <v/>
      </c>
      <c r="D13" s="27">
        <f>Assumptions!D7*Assumptions!D8*Assumptions!D35*Assumptions!D46*Assumptions!D47/1000</f>
        <v/>
      </c>
      <c r="E13" s="27">
        <f>SUM(B13:D13)</f>
        <v/>
      </c>
    </row>
    <row r="14">
      <c r="A14" s="8" t="inlineStr">
        <is>
          <t>Total revenue</t>
        </is>
      </c>
      <c r="B14" s="28">
        <f>SUM(B7:B13)</f>
        <v/>
      </c>
      <c r="C14" s="28">
        <f>SUM(C7:C13)</f>
        <v/>
      </c>
      <c r="D14" s="28">
        <f>SUM(D7:D13)</f>
        <v/>
      </c>
      <c r="E14" s="28">
        <f>SUM(B14:D14)</f>
        <v/>
      </c>
    </row>
    <row r="16" ht="22" customHeight="1">
      <c r="A16" s="22" t="inlineStr">
        <is>
          <t>VARIABLE COSTS  ·  COGS</t>
        </is>
      </c>
      <c r="B16" s="23" t="n"/>
      <c r="C16" s="23" t="n"/>
      <c r="D16" s="23" t="n"/>
      <c r="E16" s="23" t="n"/>
    </row>
    <row r="17">
      <c r="A17" s="8" t="inlineStr">
        <is>
          <t>Mux delivery (live + on-platform replay)</t>
        </is>
      </c>
      <c r="B17" s="27">
        <f>'Bouts &amp; Audience'!B14*Assumptions!B17</f>
        <v/>
      </c>
      <c r="C17" s="27">
        <f>'Bouts &amp; Audience'!C14*Assumptions!C17</f>
        <v/>
      </c>
      <c r="D17" s="27">
        <f>'Bouts &amp; Audience'!D14*Assumptions!D17</f>
        <v/>
      </c>
    </row>
    <row r="18">
      <c r="A18" s="8" t="inlineStr">
        <is>
          <t>Mux ingest</t>
        </is>
      </c>
      <c r="B18" s="27">
        <f>Assumptions!B7*Assumptions!B18</f>
        <v/>
      </c>
      <c r="C18" s="27">
        <f>Assumptions!C7*Assumptions!C18</f>
        <v/>
      </c>
      <c r="D18" s="27">
        <f>Assumptions!D7*Assumptions!D18</f>
        <v/>
      </c>
    </row>
    <row r="19">
      <c r="A19" s="8" t="inlineStr">
        <is>
          <t>Stripe processing</t>
        </is>
      </c>
      <c r="B19" s="27">
        <f>B7*Assumptions!B19+'Bouts &amp; Audience'!B11*Assumptions!B20</f>
        <v/>
      </c>
      <c r="C19" s="27">
        <f>C7*Assumptions!C19+'Bouts &amp; Audience'!C11*Assumptions!C20</f>
        <v/>
      </c>
      <c r="D19" s="27">
        <f>D7*Assumptions!D19+'Bouts &amp; Audience'!D11*Assumptions!D20</f>
        <v/>
      </c>
    </row>
    <row r="20">
      <c r="A20" s="8" t="inlineStr">
        <is>
          <t>Charity payout (18% of vote rev)</t>
        </is>
      </c>
      <c r="B20" s="27">
        <f>B7*Assumptions!B21</f>
        <v/>
      </c>
      <c r="C20" s="27">
        <f>C7*Assumptions!C21</f>
        <v/>
      </c>
      <c r="D20" s="27">
        <f>D7*Assumptions!D21</f>
        <v/>
      </c>
    </row>
    <row r="21">
      <c r="A21" s="8" t="inlineStr">
        <is>
          <t>Debater honorariums</t>
        </is>
      </c>
      <c r="B21" s="27">
        <f>Assumptions!B7*Assumptions!B22</f>
        <v/>
      </c>
      <c r="C21" s="27">
        <f>Assumptions!C7*Assumptions!C22</f>
        <v/>
      </c>
      <c r="D21" s="27">
        <f>Assumptions!D7*Assumptions!D22</f>
        <v/>
      </c>
    </row>
    <row r="22">
      <c r="A22" s="8" t="inlineStr">
        <is>
          <t>Production</t>
        </is>
      </c>
      <c r="B22" s="27">
        <f>Assumptions!B7*Assumptions!B23</f>
        <v/>
      </c>
      <c r="C22" s="27">
        <f>Assumptions!C7*Assumptions!C23</f>
        <v/>
      </c>
      <c r="D22" s="27">
        <f>Assumptions!D7*Assumptions!D23</f>
        <v/>
      </c>
    </row>
    <row r="23">
      <c r="A23" s="8" t="inlineStr">
        <is>
          <t>Total variable cost</t>
        </is>
      </c>
      <c r="B23" s="28">
        <f>SUM(B17:B22)</f>
        <v/>
      </c>
      <c r="C23" s="28">
        <f>SUM(C17:C22)</f>
        <v/>
      </c>
      <c r="D23" s="28">
        <f>SUM(D17:D22)</f>
        <v/>
      </c>
      <c r="E23" s="28">
        <f>SUM(B23:D23)</f>
        <v/>
      </c>
    </row>
    <row r="25" ht="22" customHeight="1">
      <c r="A25" s="5" t="inlineStr">
        <is>
          <t>GROSS MARGIN</t>
        </is>
      </c>
      <c r="B25" s="7" t="n"/>
      <c r="C25" s="7" t="n"/>
      <c r="D25" s="7" t="n"/>
      <c r="E25" s="7" t="n"/>
    </row>
    <row r="26">
      <c r="A26" s="8" t="inlineStr">
        <is>
          <t>Gross profit</t>
        </is>
      </c>
      <c r="B26" s="28">
        <f>B14-B23</f>
        <v/>
      </c>
      <c r="C26" s="28">
        <f>C14-C23</f>
        <v/>
      </c>
      <c r="D26" s="28">
        <f>D14-D23</f>
        <v/>
      </c>
      <c r="E26" s="28">
        <f>SUM(B26:D26)</f>
        <v/>
      </c>
    </row>
    <row r="27">
      <c r="A27" s="8" t="inlineStr">
        <is>
          <t>Gross margin %</t>
        </is>
      </c>
      <c r="B27" s="21">
        <f>IFERROR(B26/B14,0)</f>
        <v/>
      </c>
      <c r="C27" s="21">
        <f>IFERROR(C26/C14,0)</f>
        <v/>
      </c>
      <c r="D27" s="21">
        <f>IFERROR(D26/D14,0)</f>
        <v/>
      </c>
    </row>
    <row r="29" ht="22" customHeight="1">
      <c r="A29" s="22" t="inlineStr">
        <is>
          <t>FIXED OPEX</t>
        </is>
      </c>
      <c r="B29" s="23" t="n"/>
      <c r="C29" s="23" t="n"/>
      <c r="D29" s="23" t="n"/>
      <c r="E29" s="23" t="n"/>
    </row>
    <row r="30">
      <c r="A30" s="8" t="inlineStr">
        <is>
          <t>Headcount cost</t>
        </is>
      </c>
      <c r="B30" s="27">
        <f>Assumptions!B26*Assumptions!B27</f>
        <v/>
      </c>
      <c r="C30" s="27">
        <f>Assumptions!C26*Assumptions!C27</f>
        <v/>
      </c>
      <c r="D30" s="27">
        <f>Assumptions!D26*Assumptions!D27</f>
        <v/>
      </c>
    </row>
    <row r="31">
      <c r="A31" s="8" t="inlineStr">
        <is>
          <t>Paid search &amp; acquisition</t>
        </is>
      </c>
      <c r="B31" s="27">
        <f>Assumptions!B28</f>
        <v/>
      </c>
      <c r="C31" s="27">
        <f>Assumptions!C28</f>
        <v/>
      </c>
      <c r="D31" s="27">
        <f>Assumptions!D28</f>
        <v/>
      </c>
    </row>
    <row r="32">
      <c r="A32" s="8" t="inlineStr">
        <is>
          <t>Brand &amp; creator marketing</t>
        </is>
      </c>
      <c r="B32" s="27">
        <f>Assumptions!B29</f>
        <v/>
      </c>
      <c r="C32" s="27">
        <f>Assumptions!C29</f>
        <v/>
      </c>
      <c r="D32" s="27">
        <f>Assumptions!D29</f>
        <v/>
      </c>
    </row>
    <row r="33">
      <c r="A33" s="8" t="inlineStr">
        <is>
          <t>G&amp;A, tooling, infra</t>
        </is>
      </c>
      <c r="B33" s="27">
        <f>Assumptions!B30</f>
        <v/>
      </c>
      <c r="C33" s="27">
        <f>Assumptions!C30</f>
        <v/>
      </c>
      <c r="D33" s="27">
        <f>Assumptions!D30</f>
        <v/>
      </c>
    </row>
    <row r="34">
      <c r="A34" s="8" t="inlineStr">
        <is>
          <t>Legal, accounting, insurance</t>
        </is>
      </c>
      <c r="B34" s="27">
        <f>Assumptions!B31</f>
        <v/>
      </c>
      <c r="C34" s="27">
        <f>Assumptions!C31</f>
        <v/>
      </c>
      <c r="D34" s="27">
        <f>Assumptions!D31</f>
        <v/>
      </c>
    </row>
    <row r="35">
      <c r="A35" s="8" t="inlineStr">
        <is>
          <t>Total fixed opex</t>
        </is>
      </c>
      <c r="B35" s="28">
        <f>SUM(B30:B34)</f>
        <v/>
      </c>
      <c r="C35" s="28">
        <f>SUM(C30:C34)</f>
        <v/>
      </c>
      <c r="D35" s="28">
        <f>SUM(D30:D34)</f>
        <v/>
      </c>
      <c r="E35" s="28">
        <f>SUM(B35:D35)</f>
        <v/>
      </c>
    </row>
    <row r="37" ht="22" customHeight="1">
      <c r="A37" s="5" t="inlineStr">
        <is>
          <t>EBITDA</t>
        </is>
      </c>
      <c r="B37" s="7" t="n"/>
      <c r="C37" s="7" t="n"/>
      <c r="D37" s="7" t="n"/>
      <c r="E37" s="7" t="n"/>
    </row>
    <row r="38">
      <c r="A38" s="8" t="inlineStr">
        <is>
          <t>EBITDA</t>
        </is>
      </c>
      <c r="B38" s="28">
        <f>B26-B35</f>
        <v/>
      </c>
      <c r="C38" s="28">
        <f>C26-C35</f>
        <v/>
      </c>
      <c r="D38" s="28">
        <f>D26-D35</f>
        <v/>
      </c>
      <c r="E38" s="28">
        <f>SUM(B38:D38)</f>
        <v/>
      </c>
    </row>
    <row r="39">
      <c r="A39" s="8" t="inlineStr">
        <is>
          <t>EBITDA margin %</t>
        </is>
      </c>
      <c r="B39" s="21">
        <f>IFERROR(B38/B14,0)</f>
        <v/>
      </c>
      <c r="C39" s="21">
        <f>IFERROR(C38/C14,0)</f>
        <v/>
      </c>
      <c r="D39" s="21">
        <f>IFERROR(D38/D14,0)</f>
        <v/>
      </c>
    </row>
    <row r="42">
      <c r="A42" s="10" t="inlineStr">
        <is>
          <t>Pre-tax. Excludes working-capital float and tax.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6" t="inlineStr">
        <is>
          <t>Year 1 scale</t>
        </is>
      </c>
      <c r="C4" s="6" t="inlineStr">
        <is>
          <t>Year 2 scale</t>
        </is>
      </c>
      <c r="D4" s="6" t="inlineStr">
        <is>
          <t>Year 3 scale</t>
        </is>
      </c>
    </row>
    <row r="6">
      <c r="A6" s="8" t="inlineStr">
        <is>
          <t>Avg viewers / bout</t>
        </is>
      </c>
      <c r="B6" s="19">
        <f>Assumptions!B8</f>
        <v/>
      </c>
      <c r="C6" s="19">
        <f>Assumptions!C8</f>
        <v/>
      </c>
      <c r="D6" s="19">
        <f>Assumptions!D8</f>
        <v/>
      </c>
    </row>
    <row r="7">
      <c r="A7" s="8" t="inlineStr">
        <is>
          <t>Voters / bout</t>
        </is>
      </c>
      <c r="B7" s="19">
        <f>B6*Assumptions!B9</f>
        <v/>
      </c>
      <c r="C7" s="19">
        <f>C6*Assumptions!C9</f>
        <v/>
      </c>
      <c r="D7" s="19">
        <f>D6*Assumptions!D9</f>
        <v/>
      </c>
    </row>
    <row r="9" ht="22" customHeight="1">
      <c r="A9" s="25" t="inlineStr">
        <is>
          <t>REVENUE / BOUT</t>
        </is>
      </c>
      <c r="B9" s="26" t="n"/>
      <c r="C9" s="26" t="n"/>
      <c r="D9" s="26" t="n"/>
    </row>
    <row r="10">
      <c r="A10" s="8" t="inlineStr">
        <is>
          <t>Voting / bout</t>
        </is>
      </c>
      <c r="B10" s="27">
        <f>B7*Assumptions!B10</f>
        <v/>
      </c>
      <c r="C10" s="27">
        <f>C7*Assumptions!C10</f>
        <v/>
      </c>
      <c r="D10" s="27">
        <f>D7*Assumptions!D10</f>
        <v/>
      </c>
    </row>
    <row r="11">
      <c r="A11" s="8" t="inlineStr">
        <is>
          <t>Sponsor / bout (allocated)</t>
        </is>
      </c>
      <c r="B11" s="27">
        <f>Assumptions!B13*Assumptions!B14</f>
        <v/>
      </c>
      <c r="C11" s="27">
        <f>Assumptions!C13*Assumptions!C14</f>
        <v/>
      </c>
      <c r="D11" s="27">
        <f>Assumptions!D13*Assumptions!D14</f>
        <v/>
      </c>
    </row>
    <row r="12">
      <c r="A12" s="8" t="inlineStr">
        <is>
          <t>Ad share / bout</t>
        </is>
      </c>
      <c r="B12" s="27">
        <f>Assumptions!B8*Assumptions!B35*Assumptions!B46*Assumptions!B47/1000</f>
        <v/>
      </c>
      <c r="C12" s="27">
        <f>Assumptions!C8*Assumptions!C35*Assumptions!C46*Assumptions!C47/1000</f>
        <v/>
      </c>
      <c r="D12" s="27">
        <f>Assumptions!D8*Assumptions!D35*Assumptions!D46*Assumptions!D47/1000</f>
        <v/>
      </c>
    </row>
    <row r="13">
      <c r="A13" s="8" t="inlineStr">
        <is>
          <t>Total revenue / bout</t>
        </is>
      </c>
      <c r="B13" s="28">
        <f>SUM(B10:B12)</f>
        <v/>
      </c>
      <c r="C13" s="28">
        <f>SUM(C10:C12)</f>
        <v/>
      </c>
      <c r="D13" s="28">
        <f>SUM(D10:D12)</f>
        <v/>
      </c>
    </row>
    <row r="15" ht="22" customHeight="1">
      <c r="A15" s="22" t="inlineStr">
        <is>
          <t>VARIABLE COST / BOUT</t>
        </is>
      </c>
      <c r="B15" s="23" t="n"/>
      <c r="C15" s="23" t="n"/>
      <c r="D15" s="23" t="n"/>
    </row>
    <row r="16">
      <c r="A16" s="8" t="inlineStr">
        <is>
          <t>Mux delivery (live + on-platform replay)</t>
        </is>
      </c>
      <c r="B16" s="27">
        <f>B6*(Assumptions!B34+Assumptions!B35*Assumptions!B36*(1-Assumptions!B46))/60*Assumptions!B17</f>
        <v/>
      </c>
      <c r="C16" s="27">
        <f>C6*(Assumptions!C34+Assumptions!C35*Assumptions!C36*(1-Assumptions!C46))/60*Assumptions!C17</f>
        <v/>
      </c>
      <c r="D16" s="27">
        <f>D6*(Assumptions!D34+Assumptions!D35*Assumptions!D36*(1-Assumptions!D46))/60*Assumptions!D17</f>
        <v/>
      </c>
    </row>
    <row r="17">
      <c r="A17" s="8" t="inlineStr">
        <is>
          <t>Mux ingest</t>
        </is>
      </c>
      <c r="B17" s="27">
        <f>Assumptions!B18</f>
        <v/>
      </c>
      <c r="C17" s="27">
        <f>Assumptions!C18</f>
        <v/>
      </c>
      <c r="D17" s="27">
        <f>Assumptions!D18</f>
        <v/>
      </c>
    </row>
    <row r="18">
      <c r="A18" s="8" t="inlineStr">
        <is>
          <t>Stripe processing</t>
        </is>
      </c>
      <c r="B18" s="27">
        <f>B10*Assumptions!B19+B7*Assumptions!B20</f>
        <v/>
      </c>
      <c r="C18" s="27">
        <f>C10*Assumptions!C19+C7*Assumptions!C20</f>
        <v/>
      </c>
      <c r="D18" s="27">
        <f>D10*Assumptions!D19+D7*Assumptions!D20</f>
        <v/>
      </c>
    </row>
    <row r="19">
      <c r="A19" s="8" t="inlineStr">
        <is>
          <t>Charity payout</t>
        </is>
      </c>
      <c r="B19" s="27">
        <f>B10*Assumptions!B21</f>
        <v/>
      </c>
      <c r="C19" s="27">
        <f>C10*Assumptions!C21</f>
        <v/>
      </c>
      <c r="D19" s="27">
        <f>D10*Assumptions!D21</f>
        <v/>
      </c>
    </row>
    <row r="20">
      <c r="A20" s="8" t="inlineStr">
        <is>
          <t>Debater honorariums</t>
        </is>
      </c>
      <c r="B20" s="27">
        <f>Assumptions!B22</f>
        <v/>
      </c>
      <c r="C20" s="27">
        <f>Assumptions!C22</f>
        <v/>
      </c>
      <c r="D20" s="27">
        <f>Assumptions!D22</f>
        <v/>
      </c>
    </row>
    <row r="21">
      <c r="A21" s="8" t="inlineStr">
        <is>
          <t>Production</t>
        </is>
      </c>
      <c r="B21" s="27">
        <f>Assumptions!B23</f>
        <v/>
      </c>
      <c r="C21" s="27">
        <f>Assumptions!C23</f>
        <v/>
      </c>
      <c r="D21" s="27">
        <f>Assumptions!D23</f>
        <v/>
      </c>
    </row>
    <row r="22">
      <c r="A22" s="8" t="inlineStr">
        <is>
          <t>Total variable cost / bout</t>
        </is>
      </c>
      <c r="B22" s="28">
        <f>SUM(B16:B21)</f>
        <v/>
      </c>
      <c r="C22" s="28">
        <f>SUM(C16:C21)</f>
        <v/>
      </c>
      <c r="D22" s="28">
        <f>SUM(D16:D21)</f>
        <v/>
      </c>
    </row>
    <row r="24" ht="22" customHeight="1">
      <c r="A24" s="5" t="inlineStr">
        <is>
          <t>CONTRIBUTION MARGIN / BOUT</t>
        </is>
      </c>
      <c r="B24" s="7" t="n"/>
      <c r="C24" s="7" t="n"/>
      <c r="D24" s="7" t="n"/>
    </row>
    <row r="25">
      <c r="A25" s="8" t="inlineStr">
        <is>
          <t>Contribution $</t>
        </is>
      </c>
      <c r="B25" s="28">
        <f>B13-B22</f>
        <v/>
      </c>
      <c r="C25" s="28">
        <f>C13-C22</f>
        <v/>
      </c>
      <c r="D25" s="28">
        <f>D13-D22</f>
        <v/>
      </c>
    </row>
    <row r="26">
      <c r="A26" s="8" t="inlineStr">
        <is>
          <t>Contribution %</t>
        </is>
      </c>
      <c r="B26" s="21">
        <f>IFERROR(B25/B13,0)</f>
        <v/>
      </c>
      <c r="C26" s="21">
        <f>IFERROR(C25/C13,0)</f>
        <v/>
      </c>
      <c r="D26" s="21">
        <f>IFERROR(D25/D13,0)</f>
        <v/>
      </c>
    </row>
    <row r="28">
      <c r="A28" s="10" t="inlineStr">
        <is>
          <t>Excludes one-off revenue lines (premium subs, ticketing, merch, licensing) and fixed opex.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2026-05-19T18:14:04Z</dcterms:created>
  <dcterms:modified xsi:type="dcterms:W3CDTF">2026-05-19T18:14:04Z</dcterms:modified>
</cp:coreProperties>
</file>