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Bouts &amp; Audience" sheetId="3" state="visible" r:id="rId3"/>
    <sheet name="P&amp;L (3-Year)" sheetId="4" state="visible" r:id="rId4"/>
    <sheet name="Unit Econom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&quot;$&quot;#,##0"/>
    <numFmt numFmtId="166" formatCode="&quot;$&quot;#,##0.00"/>
    <numFmt numFmtId="167" formatCode="&quot;$&quot;0.00"/>
    <numFmt numFmtId="168" formatCode="#,##0&quot;x&quot;"/>
    <numFmt numFmtId="169" formatCode="&quot;$&quot;#,##0;[Red](&quot;$&quot;#,##0)"/>
  </numFmts>
  <fonts count="8">
    <font>
      <name val="Calibri"/>
      <family val="2"/>
      <color theme="1"/>
      <sz val="11"/>
      <scheme val="minor"/>
    </font>
    <font>
      <name val="Helvetica Neue"/>
      <b val="1"/>
      <color rgb="0071717A"/>
      <sz val="9"/>
    </font>
    <font>
      <name val="Helvetica Neue"/>
      <b val="1"/>
      <color rgb="0018181B"/>
      <sz val="22"/>
    </font>
    <font>
      <name val="Helvetica Neue"/>
      <color rgb="0018181B"/>
      <sz val="11"/>
    </font>
    <font>
      <name val="Helvetica Neue"/>
      <b val="1"/>
      <color rgb="0018181B"/>
      <sz val="11"/>
    </font>
    <font>
      <name val="Helvetica Neue"/>
      <b val="1"/>
      <color rgb="00FFFFFF"/>
      <sz val="12"/>
    </font>
    <font>
      <name val="Helvetica Neue"/>
      <b val="1"/>
      <color rgb="001165C6"/>
      <sz val="11"/>
    </font>
    <font>
      <name val="Helvetica Neue"/>
      <i val="1"/>
      <color rgb="0071717A"/>
      <sz val="9"/>
    </font>
  </fonts>
  <fills count="7">
    <fill>
      <patternFill/>
    </fill>
    <fill>
      <patternFill patternType="gray125"/>
    </fill>
    <fill>
      <patternFill patternType="solid">
        <fgColor rgb="0018181B"/>
      </patternFill>
    </fill>
    <fill>
      <patternFill patternType="solid">
        <fgColor rgb="00EAF1FB"/>
      </patternFill>
    </fill>
    <fill>
      <patternFill patternType="solid">
        <fgColor rgb="00F4F4F5"/>
      </patternFill>
    </fill>
    <fill>
      <patternFill patternType="solid">
        <fgColor rgb="001165C6"/>
      </patternFill>
    </fill>
    <fill>
      <patternFill patternType="solid">
        <fgColor rgb="00EB2C35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 indent="1"/>
    </xf>
    <xf numFmtId="3" fontId="6" fillId="3" borderId="1" applyAlignment="1" pivotButton="0" quotePrefix="0" xfId="0">
      <alignment horizontal="right"/>
    </xf>
    <xf numFmtId="0" fontId="7" fillId="0" borderId="0" pivotButton="0" quotePrefix="0" xfId="0"/>
    <xf numFmtId="164" fontId="6" fillId="3" borderId="1" applyAlignment="1" pivotButton="0" quotePrefix="0" xfId="0">
      <alignment horizontal="right"/>
    </xf>
    <xf numFmtId="165" fontId="6" fillId="3" borderId="1" applyAlignment="1" pivotButton="0" quotePrefix="0" xfId="0">
      <alignment horizontal="right"/>
    </xf>
    <xf numFmtId="9" fontId="6" fillId="3" borderId="1" applyAlignment="1" pivotButton="0" quotePrefix="0" xfId="0">
      <alignment horizontal="right"/>
    </xf>
    <xf numFmtId="166" fontId="6" fillId="3" borderId="1" applyAlignment="1" pivotButton="0" quotePrefix="0" xfId="0">
      <alignment horizontal="right"/>
    </xf>
    <xf numFmtId="167" fontId="6" fillId="3" borderId="1" applyAlignment="1" pivotButton="0" quotePrefix="0" xfId="0">
      <alignment horizontal="right"/>
    </xf>
    <xf numFmtId="168" fontId="6" fillId="3" borderId="1" applyAlignment="1" pivotButton="0" quotePrefix="0" xfId="0">
      <alignment horizontal="right"/>
    </xf>
    <xf numFmtId="0" fontId="5" fillId="2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/>
    </xf>
    <xf numFmtId="3" fontId="4" fillId="4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5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168" fontId="3" fillId="0" borderId="0" applyAlignment="1" pivotButton="0" quotePrefix="0" xfId="0">
      <alignment horizontal="right"/>
    </xf>
    <xf numFmtId="0" fontId="5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169" fontId="3" fillId="0" borderId="0" applyAlignment="1" pivotButton="0" quotePrefix="0" xfId="0">
      <alignment horizontal="right"/>
    </xf>
    <xf numFmtId="169" fontId="4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ARGUMENTAL · INVESTOR MODEL · 3-YEAR</t>
        </is>
      </c>
    </row>
    <row r="2" ht="32" customHeight="1">
      <c r="A2" s="2" t="inlineStr">
        <is>
          <t>How this model works</t>
        </is>
      </c>
    </row>
    <row r="3">
      <c r="A3" s="3" t="inlineStr"/>
    </row>
    <row r="4">
      <c r="A4" s="3" t="inlineStr">
        <is>
          <t>This workbook is the working financial model behind the Argumental seed deck.</t>
        </is>
      </c>
    </row>
    <row r="5">
      <c r="A5" s="3" t="inlineStr">
        <is>
          <t>All five tabs are linked: change a cell on Assumptions and every downstream</t>
        </is>
      </c>
    </row>
    <row r="6">
      <c r="A6" s="3" t="inlineStr">
        <is>
          <t>number updates.</t>
        </is>
      </c>
    </row>
    <row r="7">
      <c r="A7" s="3" t="inlineStr"/>
    </row>
    <row r="8">
      <c r="A8" s="4" t="inlineStr">
        <is>
          <t>Tabs</t>
        </is>
      </c>
    </row>
    <row r="9">
      <c r="A9" s="3" t="inlineStr">
        <is>
          <t xml:space="preserve">  1. Read Me — this page.</t>
        </is>
      </c>
    </row>
    <row r="10">
      <c r="A10" s="3" t="inlineStr">
        <is>
          <t xml:space="preserve">  2. Assumptions — every input the model uses, in one place. Cells with a</t>
        </is>
      </c>
    </row>
    <row r="11">
      <c r="A11" s="3" t="inlineStr">
        <is>
          <t xml:space="preserve">     pale-blue fill are inputs you can edit; everything else is a formula.</t>
        </is>
      </c>
    </row>
    <row r="12">
      <c r="A12" s="3" t="inlineStr">
        <is>
          <t xml:space="preserve">  3. Bouts &amp; Audience — month-by-month viewer ramp and bouts per year.</t>
        </is>
      </c>
    </row>
    <row r="13">
      <c r="A13" s="3" t="inlineStr">
        <is>
          <t xml:space="preserve">  4. P&amp;L (3-Year) — revenue, variable costs, gross margin, fixed opex,</t>
        </is>
      </c>
    </row>
    <row r="14">
      <c r="A14" s="3" t="inlineStr">
        <is>
          <t xml:space="preserve">     EBITDA. Year-over-year columns plus a running 3-year total.</t>
        </is>
      </c>
    </row>
    <row r="15">
      <c r="A15" s="3" t="inlineStr">
        <is>
          <t xml:space="preserve">  5. Unit Economics — contribution margin per bout at three audience scales,</t>
        </is>
      </c>
    </row>
    <row r="16">
      <c r="A16" s="3" t="inlineStr">
        <is>
          <t xml:space="preserve">     so you can read the operating leverage at a glance.</t>
        </is>
      </c>
    </row>
    <row r="17">
      <c r="A17" s="3" t="inlineStr"/>
    </row>
    <row r="18">
      <c r="A18" s="4" t="inlineStr">
        <is>
          <t>Conventions</t>
        </is>
      </c>
    </row>
    <row r="19">
      <c r="A19" s="3" t="inlineStr">
        <is>
          <t xml:space="preserve">  · Pale-blue cells = inputs.  All other cells are formulas — don't overwrite.</t>
        </is>
      </c>
    </row>
    <row r="20">
      <c r="A20" s="3" t="inlineStr">
        <is>
          <t xml:space="preserve">  · Red headers = revenue.  Blue headers = costs.  Black headers = totals.</t>
        </is>
      </c>
    </row>
    <row r="21">
      <c r="A21" s="3" t="inlineStr">
        <is>
          <t xml:space="preserve">  · Bouts cadence is one per Sunday — 4 / month, 48 / year. Each bout is a</t>
        </is>
      </c>
    </row>
    <row r="22">
      <c r="A22" s="3" t="inlineStr">
        <is>
          <t xml:space="preserve">    24-minute, two-stream live event archived for on-demand replay.</t>
        </is>
      </c>
    </row>
    <row r="23">
      <c r="A23" s="3" t="inlineStr">
        <is>
          <t xml:space="preserve">  · All dollar figures are in USD.  Years labeled 2026 / 2027 / 2028 to match</t>
        </is>
      </c>
    </row>
    <row r="24">
      <c r="A24" s="3" t="inlineStr">
        <is>
          <t xml:space="preserve">    the deck timeline.</t>
        </is>
      </c>
    </row>
    <row r="25">
      <c r="A25" s="3" t="inlineStr"/>
    </row>
    <row r="26">
      <c r="A26" s="3" t="inlineStr">
        <is>
          <t>Year 1 stated goal</t>
        </is>
      </c>
    </row>
    <row r="27">
      <c r="A27" s="3" t="inlineStr">
        <is>
          <t xml:space="preserve">  · 100,000 live viewers per bout by end of Year 1.  The Y1 average of</t>
        </is>
      </c>
    </row>
    <row r="28">
      <c r="A28" s="3" t="inlineStr">
        <is>
          <t xml:space="preserve">    30,000 reflects a back-weighted ramp toward that target — the league</t>
        </is>
      </c>
    </row>
    <row r="29">
      <c r="A29" s="3" t="inlineStr">
        <is>
          <t xml:space="preserve">    starts smaller, compounds weekly through paid search and creator pull.</t>
        </is>
      </c>
    </row>
    <row r="30">
      <c r="A30" s="3" t="inlineStr"/>
    </row>
    <row r="31">
      <c r="A31" s="3" t="inlineStr">
        <is>
          <t>Reach assumption — the 41× multiplier</t>
        </is>
      </c>
    </row>
    <row r="32">
      <c r="A32" s="3" t="inlineStr">
        <is>
          <t xml:space="preserve">  · Live + post-live replay = 41× total impressions per bout.  Each</t>
        </is>
      </c>
    </row>
    <row r="33">
      <c r="A33" s="3" t="inlineStr">
        <is>
          <t xml:space="preserve">    archived bout earns ~40× the live-viewer count over its first 24 hours</t>
        </is>
      </c>
    </row>
    <row r="34">
      <c r="A34" s="3" t="inlineStr">
        <is>
          <t xml:space="preserve">    via clips, embeds, and on-demand replay.  Replay viewers don't vote</t>
        </is>
      </c>
    </row>
    <row r="35">
      <c r="A35" s="3" t="inlineStr">
        <is>
          <t xml:space="preserve">    (the bout is over) but they DO drive Mux delivery cost and sponsor</t>
        </is>
      </c>
    </row>
    <row r="36">
      <c r="A36" s="3" t="inlineStr">
        <is>
          <t xml:space="preserve">    package value.  The model accounts for both.</t>
        </is>
      </c>
    </row>
    <row r="37">
      <c r="A37" s="3" t="inlineStr"/>
    </row>
    <row r="38">
      <c r="A38" s="4" t="inlineStr">
        <is>
          <t>What this model is honest about</t>
        </is>
      </c>
    </row>
    <row r="39">
      <c r="A39" s="3" t="inlineStr">
        <is>
          <t xml:space="preserve">  · Voting revenue is gated by live viewer reach, not by price.  ARPU is</t>
        </is>
      </c>
    </row>
    <row r="40">
      <c r="A40" s="3" t="inlineStr">
        <is>
          <t xml:space="preserve">    fixed at $5 per vote with a $10/week cap — voters CAN vote multiple</t>
        </is>
      </c>
    </row>
    <row r="41">
      <c r="A41" s="3" t="inlineStr">
        <is>
          <t xml:space="preserve">    bouts per week but the model conservatively assumes one vote per</t>
        </is>
      </c>
    </row>
    <row r="42">
      <c r="A42" s="3" t="inlineStr">
        <is>
          <t xml:space="preserve">    live viewer per bout.</t>
        </is>
      </c>
    </row>
    <row r="43">
      <c r="A43" s="3" t="inlineStr">
        <is>
          <t xml:space="preserve">  · Sponsor revenue ramps in Year 2.  Year 1 carries no sponsor income —</t>
        </is>
      </c>
    </row>
    <row r="44">
      <c r="A44" s="3" t="inlineStr">
        <is>
          <t xml:space="preserve">    the format proves itself first, then sells against verified audience data.</t>
        </is>
      </c>
    </row>
    <row r="45">
      <c r="A45" s="3" t="inlineStr">
        <is>
          <t xml:space="preserve">  · Mux delivery cost scales with viewers (live + replay); included as a</t>
        </is>
      </c>
    </row>
    <row r="46">
      <c r="A46" s="3" t="inlineStr">
        <is>
          <t xml:space="preserve">    real per-bout COGS.</t>
        </is>
      </c>
    </row>
    <row r="47">
      <c r="A47" s="3" t="inlineStr">
        <is>
          <t xml:space="preserve">  · Charity payout is 18% of gross voting revenue, accounted as COGS so it</t>
        </is>
      </c>
    </row>
    <row r="48">
      <c r="A48" s="3" t="inlineStr">
        <is>
          <t xml:space="preserve">    flows through gross margin (matches the donor-receipt model).</t>
        </is>
      </c>
    </row>
    <row r="49">
      <c r="A49" s="3" t="inlineStr"/>
    </row>
    <row r="50">
      <c r="A50" s="4" t="inlineStr">
        <is>
          <t>What this model deliberately omits</t>
        </is>
      </c>
    </row>
    <row r="51">
      <c r="A51" s="3" t="inlineStr">
        <is>
          <t xml:space="preserve">  · IP / licensing revenue (international territories, format licensing).</t>
        </is>
      </c>
    </row>
    <row r="52">
      <c r="A52" s="3" t="inlineStr">
        <is>
          <t xml:space="preserve">    Treated as upside, not assumed.</t>
        </is>
      </c>
    </row>
    <row r="53">
      <c r="A53" s="3" t="inlineStr">
        <is>
          <t xml:space="preserve">  · Working-capital and payment-processor float.</t>
        </is>
      </c>
    </row>
    <row r="54">
      <c r="A54" s="3" t="inlineStr">
        <is>
          <t xml:space="preserve">  · Tax — model is pre-tax EBITDA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INPUTS — EDIT THESE TO STRESS-TEST</t>
        </is>
      </c>
    </row>
    <row r="2" ht="32" customHeight="1">
      <c r="A2" s="2" t="inlineStr">
        <is>
          <t>Assumptions</t>
        </is>
      </c>
    </row>
    <row r="4" ht="22" customHeight="1">
      <c r="A4" s="5" t="inlineStr">
        <is>
          <t>Driver</t>
        </is>
      </c>
      <c r="B4" s="5" t="inlineStr">
        <is>
          <t>2026 (Y1)</t>
        </is>
      </c>
      <c r="C4" s="5" t="inlineStr">
        <is>
          <t>2027 (Y2)</t>
        </is>
      </c>
      <c r="D4" s="5" t="inlineStr">
        <is>
          <t>2028 (Y3)</t>
        </is>
      </c>
      <c r="E4" s="5" t="inlineStr">
        <is>
          <t>Notes</t>
        </is>
      </c>
    </row>
    <row r="6" ht="22" customHeight="1">
      <c r="A6" s="5" t="inlineStr">
        <is>
          <t>AUDIENCE &amp; ENGAGEMENT</t>
        </is>
      </c>
      <c r="B6" s="6" t="n"/>
      <c r="C6" s="6" t="n"/>
      <c r="D6" s="6" t="n"/>
      <c r="E6" s="6" t="n"/>
    </row>
    <row r="7">
      <c r="A7" s="7" t="inlineStr">
        <is>
          <t>Bouts per year</t>
        </is>
      </c>
      <c r="B7" s="8" t="n">
        <v>48</v>
      </c>
      <c r="C7" s="8" t="n">
        <v>48</v>
      </c>
      <c r="D7" s="8" t="n">
        <v>48</v>
      </c>
      <c r="E7" s="9" t="inlineStr">
        <is>
          <t>1 / Sunday</t>
        </is>
      </c>
    </row>
    <row r="8">
      <c r="A8" s="7" t="inlineStr">
        <is>
          <t>Avg concurrent live viewers / bout</t>
        </is>
      </c>
      <c r="B8" s="8" t="n">
        <v>30000</v>
      </c>
      <c r="C8" s="8" t="n">
        <v>100000</v>
      </c>
      <c r="D8" s="8" t="n">
        <v>250000</v>
      </c>
      <c r="E8" s="9" t="inlineStr">
        <is>
          <t>Y1 ramp targets 100K EOY</t>
        </is>
      </c>
    </row>
    <row r="9">
      <c r="A9" s="7" t="inlineStr">
        <is>
          <t>% of viewers who vote</t>
        </is>
      </c>
      <c r="B9" s="10" t="n">
        <v>0.06</v>
      </c>
      <c r="C9" s="10" t="n">
        <v>0.08</v>
      </c>
      <c r="D9" s="10" t="n">
        <v>0.09</v>
      </c>
      <c r="E9" s="9" t="inlineStr">
        <is>
          <t>Single $5 vote</t>
        </is>
      </c>
    </row>
    <row r="10">
      <c r="A10" s="7" t="inlineStr">
        <is>
          <t>Avg vote price (USD)</t>
        </is>
      </c>
      <c r="B10" s="11" t="n">
        <v>5</v>
      </c>
      <c r="C10" s="11" t="n">
        <v>5</v>
      </c>
      <c r="D10" s="11" t="n">
        <v>5</v>
      </c>
      <c r="E10" s="9" t="inlineStr">
        <is>
          <t>Fixed</t>
        </is>
      </c>
    </row>
    <row r="12" ht="22" customHeight="1">
      <c r="A12" s="5" t="inlineStr">
        <is>
          <t>SPONSORSHIP</t>
        </is>
      </c>
      <c r="B12" s="6" t="n"/>
      <c r="C12" s="6" t="n"/>
      <c r="D12" s="6" t="n"/>
      <c r="E12" s="6" t="n"/>
    </row>
    <row r="13">
      <c r="A13" s="7" t="inlineStr">
        <is>
          <t>Sponsor revenue / bout (USD)</t>
        </is>
      </c>
      <c r="B13" s="11" t="n">
        <v>0</v>
      </c>
      <c r="C13" s="11" t="n">
        <v>30000</v>
      </c>
      <c r="D13" s="11" t="n">
        <v>75000</v>
      </c>
      <c r="E13" s="9" t="inlineStr">
        <is>
          <t>Title slot · 41× reach</t>
        </is>
      </c>
    </row>
    <row r="14">
      <c r="A14" s="7" t="inlineStr">
        <is>
          <t>Sponsored bouts (% of cadence)</t>
        </is>
      </c>
      <c r="B14" s="12" t="n">
        <v>0</v>
      </c>
      <c r="C14" s="12" t="n">
        <v>0.5</v>
      </c>
      <c r="D14" s="12" t="n">
        <v>1</v>
      </c>
      <c r="E14" s="9" t="inlineStr">
        <is>
          <t>Brand fit</t>
        </is>
      </c>
    </row>
    <row r="16" ht="22" customHeight="1">
      <c r="A16" s="5" t="inlineStr">
        <is>
          <t>VARIABLE COSTS  ·  PER BOUT</t>
        </is>
      </c>
      <c r="B16" s="6" t="n"/>
      <c r="C16" s="6" t="n"/>
      <c r="D16" s="6" t="n"/>
      <c r="E16" s="6" t="n"/>
    </row>
    <row r="17">
      <c r="A17" s="7" t="inlineStr">
        <is>
          <t>Mux delivery $/viewer-hour</t>
        </is>
      </c>
      <c r="B17" s="13" t="n">
        <v>0.06</v>
      </c>
      <c r="C17" s="13" t="n">
        <v>0.06</v>
      </c>
      <c r="D17" s="13" t="n">
        <v>0.05</v>
      </c>
      <c r="E17" s="9" t="inlineStr">
        <is>
          <t>Negotiated at scale</t>
        </is>
      </c>
    </row>
    <row r="18">
      <c r="A18" s="7" t="inlineStr">
        <is>
          <t>Mux ingest $/bout (2 streams)</t>
        </is>
      </c>
      <c r="B18" s="11" t="n">
        <v>8</v>
      </c>
      <c r="C18" s="11" t="n">
        <v>8</v>
      </c>
      <c r="D18" s="11" t="n">
        <v>8</v>
      </c>
      <c r="E18" s="9" t="inlineStr">
        <is>
          <t>24m × 2 streams</t>
        </is>
      </c>
    </row>
    <row r="19">
      <c r="A19" s="7" t="inlineStr">
        <is>
          <t>Stripe rate (% of vote rev)</t>
        </is>
      </c>
      <c r="B19" s="10" t="n">
        <v>0.029</v>
      </c>
      <c r="C19" s="10" t="n">
        <v>0.029</v>
      </c>
      <c r="D19" s="10" t="n">
        <v>0.029</v>
      </c>
      <c r="E19" s="9" t="inlineStr">
        <is>
          <t>+ $0.30/vote</t>
        </is>
      </c>
    </row>
    <row r="20">
      <c r="A20" s="7" t="inlineStr">
        <is>
          <t>Stripe per-vote fee</t>
        </is>
      </c>
      <c r="B20" s="14" t="n">
        <v>0.3</v>
      </c>
      <c r="C20" s="14" t="n">
        <v>0.3</v>
      </c>
      <c r="D20" s="14" t="n">
        <v>0.3</v>
      </c>
      <c r="E20" s="9" t="inlineStr">
        <is>
          <t>Flat</t>
        </is>
      </c>
    </row>
    <row r="21">
      <c r="A21" s="7" t="inlineStr">
        <is>
          <t>Charity payout (% of vote rev)</t>
        </is>
      </c>
      <c r="B21" s="12" t="n">
        <v>0.18</v>
      </c>
      <c r="C21" s="12" t="n">
        <v>0.18</v>
      </c>
      <c r="D21" s="12" t="n">
        <v>0.18</v>
      </c>
      <c r="E21" s="9" t="inlineStr">
        <is>
          <t>18% donor model</t>
        </is>
      </c>
    </row>
    <row r="22">
      <c r="A22" s="7" t="inlineStr">
        <is>
          <t>Debater honorarium / bout</t>
        </is>
      </c>
      <c r="B22" s="11" t="n">
        <v>25000</v>
      </c>
      <c r="C22" s="11" t="n">
        <v>25000</v>
      </c>
      <c r="D22" s="11" t="n">
        <v>25000</v>
      </c>
      <c r="E22" s="9" t="inlineStr">
        <is>
          <t>Capped at $25K (both)</t>
        </is>
      </c>
    </row>
    <row r="23">
      <c r="A23" s="7" t="inlineStr">
        <is>
          <t>Production / bout</t>
        </is>
      </c>
      <c r="B23" s="11" t="n">
        <v>12000</v>
      </c>
      <c r="C23" s="11" t="n">
        <v>18000</v>
      </c>
      <c r="D23" s="11" t="n">
        <v>25000</v>
      </c>
      <c r="E23" s="9" t="inlineStr">
        <is>
          <t>Studio + crew</t>
        </is>
      </c>
    </row>
    <row r="25" ht="22" customHeight="1">
      <c r="A25" s="5" t="inlineStr">
        <is>
          <t>FIXED COSTS  ·  PER YEAR</t>
        </is>
      </c>
      <c r="B25" s="6" t="n"/>
      <c r="C25" s="6" t="n"/>
      <c r="D25" s="6" t="n"/>
      <c r="E25" s="6" t="n"/>
    </row>
    <row r="26">
      <c r="A26" s="7" t="inlineStr">
        <is>
          <t>Headcount (FTE)</t>
        </is>
      </c>
      <c r="B26" s="8" t="n">
        <v>4</v>
      </c>
      <c r="C26" s="8" t="n">
        <v>8</v>
      </c>
      <c r="D26" s="8" t="n">
        <v>14</v>
      </c>
      <c r="E26" s="9" t="inlineStr">
        <is>
          <t>Avg loaded $180K</t>
        </is>
      </c>
    </row>
    <row r="27">
      <c r="A27" s="7" t="inlineStr">
        <is>
          <t>Loaded cost per FTE</t>
        </is>
      </c>
      <c r="B27" s="11" t="n">
        <v>180000</v>
      </c>
      <c r="C27" s="11" t="n">
        <v>180000</v>
      </c>
      <c r="D27" s="11" t="n">
        <v>195000</v>
      </c>
      <c r="E27" s="9" t="inlineStr">
        <is>
          <t>Salary + benefits</t>
        </is>
      </c>
    </row>
    <row r="28">
      <c r="A28" s="7" t="inlineStr">
        <is>
          <t>Paid search &amp; acquisition</t>
        </is>
      </c>
      <c r="B28" s="11" t="n">
        <v>120000</v>
      </c>
      <c r="C28" s="11" t="n">
        <v>240000</v>
      </c>
      <c r="D28" s="11" t="n">
        <v>360000</v>
      </c>
      <c r="E28" s="9" t="inlineStr">
        <is>
          <t>$10K/mo Y1</t>
        </is>
      </c>
    </row>
    <row r="29">
      <c r="A29" s="7" t="inlineStr">
        <is>
          <t>Brand &amp; creator marketing</t>
        </is>
      </c>
      <c r="B29" s="11" t="n">
        <v>60000</v>
      </c>
      <c r="C29" s="11" t="n">
        <v>240000</v>
      </c>
      <c r="D29" s="11" t="n">
        <v>480000</v>
      </c>
      <c r="E29" s="9" t="inlineStr">
        <is>
          <t>Sponsored clips</t>
        </is>
      </c>
    </row>
    <row r="30">
      <c r="A30" s="7" t="inlineStr">
        <is>
          <t>G&amp;A, tooling, infra</t>
        </is>
      </c>
      <c r="B30" s="11" t="n">
        <v>60000</v>
      </c>
      <c r="C30" s="11" t="n">
        <v>120000</v>
      </c>
      <c r="D30" s="11" t="n">
        <v>200000</v>
      </c>
      <c r="E30" s="9" t="inlineStr">
        <is>
          <t>Office, software</t>
        </is>
      </c>
    </row>
    <row r="31">
      <c r="A31" s="7" t="inlineStr">
        <is>
          <t>Legal, accounting, insurance</t>
        </is>
      </c>
      <c r="B31" s="11" t="n">
        <v>50000</v>
      </c>
      <c r="C31" s="11" t="n">
        <v>90000</v>
      </c>
      <c r="D31" s="11" t="n">
        <v>140000</v>
      </c>
      <c r="E31" s="9" t="inlineStr">
        <is>
          <t>Outside counsel</t>
        </is>
      </c>
    </row>
    <row r="33" ht="22" customHeight="1">
      <c r="A33" s="5" t="inlineStr">
        <is>
          <t>AUDIENCE BEHAVIOR</t>
        </is>
      </c>
      <c r="B33" s="6" t="n"/>
      <c r="C33" s="6" t="n"/>
      <c r="D33" s="6" t="n"/>
      <c r="E33" s="6" t="n"/>
    </row>
    <row r="34">
      <c r="A34" s="7" t="inlineStr">
        <is>
          <t>Avg minutes watched / live viewer</t>
        </is>
      </c>
      <c r="B34" s="8" t="n">
        <v>16</v>
      </c>
      <c r="C34" s="8" t="n">
        <v>18</v>
      </c>
      <c r="D34" s="8" t="n">
        <v>20</v>
      </c>
      <c r="E34" s="9" t="inlineStr">
        <is>
          <t>Drives live Mux delivery cost</t>
        </is>
      </c>
    </row>
    <row r="35">
      <c r="A35" s="7" t="inlineStr">
        <is>
          <t>Post-live replay multiplier</t>
        </is>
      </c>
      <c r="B35" s="15" t="n">
        <v>40</v>
      </c>
      <c r="C35" s="15" t="n">
        <v>40</v>
      </c>
      <c r="D35" s="15" t="n">
        <v>40</v>
      </c>
      <c r="E35" s="9" t="inlineStr">
        <is>
          <t>Replay views = live × this. Bout 24h+ archive.</t>
        </is>
      </c>
    </row>
    <row r="36">
      <c r="A36" s="7" t="inlineStr">
        <is>
          <t>Avg minutes watched / replay viewer</t>
        </is>
      </c>
      <c r="B36" s="8" t="n">
        <v>4</v>
      </c>
      <c r="C36" s="8" t="n">
        <v>5</v>
      </c>
      <c r="D36" s="8" t="n">
        <v>6</v>
      </c>
      <c r="E36" s="9" t="inlineStr">
        <is>
          <t>Highlights &amp; clips, not full bout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VOLUME</t>
        </is>
      </c>
    </row>
    <row r="2" ht="32" customHeight="1">
      <c r="A2" s="2" t="inlineStr">
        <is>
          <t>Bouts and viewers, by year</t>
        </is>
      </c>
    </row>
    <row r="4" ht="22" customHeight="1">
      <c r="A4" s="5" t="inlineStr">
        <is>
          <t>Metric</t>
        </is>
      </c>
      <c r="B4" s="16" t="inlineStr">
        <is>
          <t>2026</t>
        </is>
      </c>
      <c r="C4" s="16" t="inlineStr">
        <is>
          <t>2027</t>
        </is>
      </c>
      <c r="D4" s="16" t="inlineStr">
        <is>
          <t>2028</t>
        </is>
      </c>
      <c r="E4" s="16" t="inlineStr">
        <is>
          <t>3-Yr Total</t>
        </is>
      </c>
    </row>
    <row r="6">
      <c r="A6" s="7" t="inlineStr">
        <is>
          <t>Bouts per year</t>
        </is>
      </c>
      <c r="B6" s="17">
        <f>Assumptions!B7</f>
        <v/>
      </c>
      <c r="C6" s="17">
        <f>Assumptions!C7</f>
        <v/>
      </c>
      <c r="D6" s="17">
        <f>Assumptions!D7</f>
        <v/>
      </c>
      <c r="E6" s="18">
        <f>SUM(B6:D6)</f>
        <v/>
      </c>
    </row>
    <row r="7">
      <c r="A7" s="7" t="inlineStr">
        <is>
          <t>Avg concurrent viewers / bout</t>
        </is>
      </c>
      <c r="B7" s="17">
        <f>Assumptions!B8</f>
        <v/>
      </c>
      <c r="C7" s="17">
        <f>Assumptions!C8</f>
        <v/>
      </c>
      <c r="D7" s="17">
        <f>Assumptions!D8</f>
        <v/>
      </c>
    </row>
    <row r="8">
      <c r="A8" s="7" t="inlineStr">
        <is>
          <t>Annual viewer-bouts</t>
        </is>
      </c>
      <c r="B8" s="17">
        <f>B6*B7</f>
        <v/>
      </c>
      <c r="C8" s="17">
        <f>C6*C7</f>
        <v/>
      </c>
      <c r="D8" s="17">
        <f>D6*D7</f>
        <v/>
      </c>
      <c r="E8" s="18">
        <f>SUM(B8:D8)</f>
        <v/>
      </c>
    </row>
    <row r="9">
      <c r="A9" s="7" t="inlineStr">
        <is>
          <t>Voter conversion rate</t>
        </is>
      </c>
      <c r="B9" s="19">
        <f>Assumptions!B9</f>
        <v/>
      </c>
      <c r="C9" s="19">
        <f>Assumptions!C9</f>
        <v/>
      </c>
      <c r="D9" s="19">
        <f>Assumptions!D9</f>
        <v/>
      </c>
    </row>
    <row r="10">
      <c r="A10" s="7" t="inlineStr">
        <is>
          <t>Votes per bout</t>
        </is>
      </c>
      <c r="B10" s="17">
        <f>B7*B9</f>
        <v/>
      </c>
      <c r="C10" s="17">
        <f>C7*C9</f>
        <v/>
      </c>
      <c r="D10" s="17">
        <f>D7*D9</f>
        <v/>
      </c>
    </row>
    <row r="11">
      <c r="A11" s="7" t="inlineStr">
        <is>
          <t>Annual votes</t>
        </is>
      </c>
      <c r="B11" s="18">
        <f>B6*B10</f>
        <v/>
      </c>
      <c r="C11" s="18">
        <f>C6*C10</f>
        <v/>
      </c>
      <c r="D11" s="18">
        <f>D6*D10</f>
        <v/>
      </c>
      <c r="E11" s="18">
        <f>SUM(B11:D11)</f>
        <v/>
      </c>
    </row>
    <row r="13">
      <c r="A13" s="7" t="inlineStr">
        <is>
          <t>Avg minutes watched / live viewer</t>
        </is>
      </c>
      <c r="B13" s="17">
        <f>Assumptions!B34</f>
        <v/>
      </c>
      <c r="C13" s="17">
        <f>Assumptions!C34</f>
        <v/>
      </c>
      <c r="D13" s="17">
        <f>Assumptions!D34</f>
        <v/>
      </c>
    </row>
    <row r="14">
      <c r="A14" s="7" t="inlineStr">
        <is>
          <t>Annual viewer-hours delivered (Mux)</t>
        </is>
      </c>
      <c r="B14" s="18">
        <f>B8*(B13+Assumptions!B35*Assumptions!B36)/60</f>
        <v/>
      </c>
      <c r="C14" s="18">
        <f>C8*(C13+Assumptions!C35*Assumptions!C36)/60</f>
        <v/>
      </c>
      <c r="D14" s="18">
        <f>D8*(D13+Assumptions!D35*Assumptions!D36)/60</f>
        <v/>
      </c>
      <c r="E14" s="18">
        <f>SUM(B14:D14)</f>
        <v/>
      </c>
    </row>
    <row r="16" ht="22" customHeight="1">
      <c r="A16" s="20" t="inlineStr">
        <is>
          <t>REACH BEYOND LIVE</t>
        </is>
      </c>
      <c r="B16" s="21" t="n"/>
      <c r="C16" s="21" t="n"/>
      <c r="D16" s="21" t="n"/>
      <c r="E16" s="21" t="n"/>
    </row>
    <row r="17">
      <c r="A17" s="7" t="inlineStr">
        <is>
          <t>Post-live replay multiplier</t>
        </is>
      </c>
      <c r="B17" s="22">
        <f>Assumptions!B35</f>
        <v/>
      </c>
      <c r="C17" s="22">
        <f>Assumptions!C35</f>
        <v/>
      </c>
      <c r="D17" s="22">
        <f>Assumptions!D35</f>
        <v/>
      </c>
    </row>
    <row r="18">
      <c r="A18" s="7" t="inlineStr">
        <is>
          <t>Replay viewers / bout</t>
        </is>
      </c>
      <c r="B18" s="17">
        <f>B7*B17</f>
        <v/>
      </c>
      <c r="C18" s="17">
        <f>C7*C17</f>
        <v/>
      </c>
      <c r="D18" s="17">
        <f>D7*D17</f>
        <v/>
      </c>
    </row>
    <row r="19">
      <c r="A19" s="7" t="inlineStr">
        <is>
          <t>Total reach / bout (live + replay)</t>
        </is>
      </c>
      <c r="B19" s="17">
        <f>B7+B18</f>
        <v/>
      </c>
      <c r="C19" s="17">
        <f>C7+C18</f>
        <v/>
      </c>
      <c r="D19" s="17">
        <f>D7+D18</f>
        <v/>
      </c>
    </row>
    <row r="20">
      <c r="A20" s="7" t="inlineStr">
        <is>
          <t>Annual total impressions</t>
        </is>
      </c>
      <c r="B20" s="18">
        <f>B6*B19</f>
        <v/>
      </c>
      <c r="C20" s="18">
        <f>C6*C19</f>
        <v/>
      </c>
      <c r="D20" s="18">
        <f>D6*D19</f>
        <v/>
      </c>
      <c r="E20" s="18">
        <f>SUM(B20:D20)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REVENUE  ·  VARIABLE COSTS  ·  GROSS MARGIN  ·  OPEX  ·  EBITDA</t>
        </is>
      </c>
    </row>
    <row r="2" ht="32" customHeight="1">
      <c r="A2" s="2" t="inlineStr">
        <is>
          <t>P&amp;L — 3-Year View</t>
        </is>
      </c>
    </row>
    <row r="4" ht="22" customHeight="1">
      <c r="A4" s="5" t="inlineStr"/>
      <c r="B4" s="16" t="inlineStr">
        <is>
          <t>2026</t>
        </is>
      </c>
      <c r="C4" s="16" t="inlineStr">
        <is>
          <t>2027</t>
        </is>
      </c>
      <c r="D4" s="16" t="inlineStr">
        <is>
          <t>2028</t>
        </is>
      </c>
      <c r="E4" s="16" t="inlineStr">
        <is>
          <t>3-Yr Total</t>
        </is>
      </c>
    </row>
    <row r="6" ht="22" customHeight="1">
      <c r="A6" s="23" t="inlineStr">
        <is>
          <t>REVENUE</t>
        </is>
      </c>
      <c r="B6" s="24" t="n"/>
      <c r="C6" s="24" t="n"/>
      <c r="D6" s="24" t="n"/>
      <c r="E6" s="24" t="n"/>
    </row>
    <row r="7">
      <c r="A7" s="7" t="inlineStr">
        <is>
          <t>Voting revenue</t>
        </is>
      </c>
      <c r="B7" s="25">
        <f>'Bouts &amp; Audience'!B11*Assumptions!B10</f>
        <v/>
      </c>
      <c r="C7" s="25">
        <f>'Bouts &amp; Audience'!C11*Assumptions!C10</f>
        <v/>
      </c>
      <c r="D7" s="25">
        <f>'Bouts &amp; Audience'!D11*Assumptions!D10</f>
        <v/>
      </c>
      <c r="E7" s="25">
        <f>SUM(B7:D7)</f>
        <v/>
      </c>
    </row>
    <row r="8">
      <c r="A8" s="7" t="inlineStr">
        <is>
          <t>Sponsor revenue</t>
        </is>
      </c>
      <c r="B8" s="25">
        <f>Assumptions!B7*Assumptions!B14*Assumptions!B13</f>
        <v/>
      </c>
      <c r="C8" s="25">
        <f>Assumptions!C7*Assumptions!C14*Assumptions!C13</f>
        <v/>
      </c>
      <c r="D8" s="25">
        <f>Assumptions!D7*Assumptions!D14*Assumptions!D13</f>
        <v/>
      </c>
      <c r="E8" s="25">
        <f>SUM(B8:D8)</f>
        <v/>
      </c>
    </row>
    <row r="9">
      <c r="A9" s="7" t="inlineStr">
        <is>
          <t>Total revenue</t>
        </is>
      </c>
      <c r="B9" s="26">
        <f>SUM(B7:B8)</f>
        <v/>
      </c>
      <c r="C9" s="26">
        <f>SUM(C7:C8)</f>
        <v/>
      </c>
      <c r="D9" s="26">
        <f>SUM(D7:D8)</f>
        <v/>
      </c>
      <c r="E9" s="26">
        <f>SUM(B9:D9)</f>
        <v/>
      </c>
    </row>
    <row r="11" ht="22" customHeight="1">
      <c r="A11" s="20" t="inlineStr">
        <is>
          <t>VARIABLE COSTS  ·  COGS</t>
        </is>
      </c>
      <c r="B11" s="21" t="n"/>
      <c r="C11" s="21" t="n"/>
      <c r="D11" s="21" t="n"/>
      <c r="E11" s="21" t="n"/>
    </row>
    <row r="12">
      <c r="A12" s="7" t="inlineStr">
        <is>
          <t>Mux delivery (CDN)</t>
        </is>
      </c>
      <c r="B12" s="25">
        <f>'Bouts &amp; Audience'!B14*Assumptions!B17</f>
        <v/>
      </c>
      <c r="C12" s="25">
        <f>'Bouts &amp; Audience'!C14*Assumptions!C17</f>
        <v/>
      </c>
      <c r="D12" s="25">
        <f>'Bouts &amp; Audience'!D14*Assumptions!D17</f>
        <v/>
      </c>
    </row>
    <row r="13">
      <c r="A13" s="7" t="inlineStr">
        <is>
          <t>Mux ingest</t>
        </is>
      </c>
      <c r="B13" s="25">
        <f>Assumptions!B7*Assumptions!B18</f>
        <v/>
      </c>
      <c r="C13" s="25">
        <f>Assumptions!C7*Assumptions!C18</f>
        <v/>
      </c>
      <c r="D13" s="25">
        <f>Assumptions!D7*Assumptions!D18</f>
        <v/>
      </c>
    </row>
    <row r="14">
      <c r="A14" s="7" t="inlineStr">
        <is>
          <t>Stripe processing</t>
        </is>
      </c>
      <c r="B14" s="25">
        <f>B7*Assumptions!B19+'Bouts &amp; Audience'!B11*Assumptions!B20</f>
        <v/>
      </c>
      <c r="C14" s="25">
        <f>C7*Assumptions!C19+'Bouts &amp; Audience'!C11*Assumptions!C20</f>
        <v/>
      </c>
      <c r="D14" s="25">
        <f>D7*Assumptions!D19+'Bouts &amp; Audience'!D11*Assumptions!D20</f>
        <v/>
      </c>
    </row>
    <row r="15">
      <c r="A15" s="7" t="inlineStr">
        <is>
          <t>Charity payout (18% of vote rev)</t>
        </is>
      </c>
      <c r="B15" s="25">
        <f>B7*Assumptions!B21</f>
        <v/>
      </c>
      <c r="C15" s="25">
        <f>C7*Assumptions!C21</f>
        <v/>
      </c>
      <c r="D15" s="25">
        <f>D7*Assumptions!D21</f>
        <v/>
      </c>
    </row>
    <row r="16">
      <c r="A16" s="7" t="inlineStr">
        <is>
          <t>Debater honorariums</t>
        </is>
      </c>
      <c r="B16" s="25">
        <f>Assumptions!B7*Assumptions!B22</f>
        <v/>
      </c>
      <c r="C16" s="25">
        <f>Assumptions!C7*Assumptions!C22</f>
        <v/>
      </c>
      <c r="D16" s="25">
        <f>Assumptions!D7*Assumptions!D22</f>
        <v/>
      </c>
    </row>
    <row r="17">
      <c r="A17" s="7" t="inlineStr">
        <is>
          <t>Production</t>
        </is>
      </c>
      <c r="B17" s="25">
        <f>Assumptions!B7*Assumptions!B23</f>
        <v/>
      </c>
      <c r="C17" s="25">
        <f>Assumptions!C7*Assumptions!C23</f>
        <v/>
      </c>
      <c r="D17" s="25">
        <f>Assumptions!D7*Assumptions!D23</f>
        <v/>
      </c>
    </row>
    <row r="18">
      <c r="A18" s="7" t="inlineStr">
        <is>
          <t>Total variable cost</t>
        </is>
      </c>
      <c r="B18" s="26">
        <f>SUM(B12:B17)</f>
        <v/>
      </c>
      <c r="C18" s="26">
        <f>SUM(C12:C17)</f>
        <v/>
      </c>
      <c r="D18" s="26">
        <f>SUM(D12:D17)</f>
        <v/>
      </c>
      <c r="E18" s="26">
        <f>SUM(B18:D18)</f>
        <v/>
      </c>
    </row>
    <row r="20" ht="22" customHeight="1">
      <c r="A20" s="5" t="inlineStr">
        <is>
          <t>GROSS MARGIN</t>
        </is>
      </c>
      <c r="B20" s="6" t="n"/>
      <c r="C20" s="6" t="n"/>
      <c r="D20" s="6" t="n"/>
      <c r="E20" s="6" t="n"/>
    </row>
    <row r="21">
      <c r="A21" s="7" t="inlineStr">
        <is>
          <t>Gross profit</t>
        </is>
      </c>
      <c r="B21" s="26">
        <f>B9-B18</f>
        <v/>
      </c>
      <c r="C21" s="26">
        <f>C9-C18</f>
        <v/>
      </c>
      <c r="D21" s="26">
        <f>D9-D18</f>
        <v/>
      </c>
      <c r="E21" s="26">
        <f>SUM(B21:D21)</f>
        <v/>
      </c>
    </row>
    <row r="22">
      <c r="A22" s="7" t="inlineStr">
        <is>
          <t>Gross margin %</t>
        </is>
      </c>
      <c r="B22" s="19">
        <f>IFERROR(B21/B9,0)</f>
        <v/>
      </c>
      <c r="C22" s="19">
        <f>IFERROR(C21/C9,0)</f>
        <v/>
      </c>
      <c r="D22" s="19">
        <f>IFERROR(D21/D9,0)</f>
        <v/>
      </c>
    </row>
    <row r="24" ht="22" customHeight="1">
      <c r="A24" s="20" t="inlineStr">
        <is>
          <t>FIXED OPEX</t>
        </is>
      </c>
      <c r="B24" s="21" t="n"/>
      <c r="C24" s="21" t="n"/>
      <c r="D24" s="21" t="n"/>
      <c r="E24" s="21" t="n"/>
    </row>
    <row r="25">
      <c r="A25" s="7" t="inlineStr">
        <is>
          <t>Headcount cost</t>
        </is>
      </c>
      <c r="B25" s="25">
        <f>Assumptions!B26*Assumptions!B27</f>
        <v/>
      </c>
      <c r="C25" s="25">
        <f>Assumptions!C26*Assumptions!C27</f>
        <v/>
      </c>
      <c r="D25" s="25">
        <f>Assumptions!D26*Assumptions!D27</f>
        <v/>
      </c>
    </row>
    <row r="26">
      <c r="A26" s="7" t="inlineStr">
        <is>
          <t>Paid search &amp; acquisition</t>
        </is>
      </c>
      <c r="B26" s="25">
        <f>Assumptions!B28</f>
        <v/>
      </c>
      <c r="C26" s="25">
        <f>Assumptions!C28</f>
        <v/>
      </c>
      <c r="D26" s="25">
        <f>Assumptions!D28</f>
        <v/>
      </c>
    </row>
    <row r="27">
      <c r="A27" s="7" t="inlineStr">
        <is>
          <t>Brand &amp; creator marketing</t>
        </is>
      </c>
      <c r="B27" s="25">
        <f>Assumptions!B29</f>
        <v/>
      </c>
      <c r="C27" s="25">
        <f>Assumptions!C29</f>
        <v/>
      </c>
      <c r="D27" s="25">
        <f>Assumptions!D29</f>
        <v/>
      </c>
    </row>
    <row r="28">
      <c r="A28" s="7" t="inlineStr">
        <is>
          <t>G&amp;A, tooling, infra</t>
        </is>
      </c>
      <c r="B28" s="25">
        <f>Assumptions!B30</f>
        <v/>
      </c>
      <c r="C28" s="25">
        <f>Assumptions!C30</f>
        <v/>
      </c>
      <c r="D28" s="25">
        <f>Assumptions!D30</f>
        <v/>
      </c>
    </row>
    <row r="29">
      <c r="A29" s="7" t="inlineStr">
        <is>
          <t>Legal, accounting, insurance</t>
        </is>
      </c>
      <c r="B29" s="25">
        <f>Assumptions!B31</f>
        <v/>
      </c>
      <c r="C29" s="25">
        <f>Assumptions!C31</f>
        <v/>
      </c>
      <c r="D29" s="25">
        <f>Assumptions!D31</f>
        <v/>
      </c>
    </row>
    <row r="30">
      <c r="A30" s="7" t="inlineStr">
        <is>
          <t>Total fixed opex</t>
        </is>
      </c>
      <c r="B30" s="26">
        <f>SUM(B25:B29)</f>
        <v/>
      </c>
      <c r="C30" s="26">
        <f>SUM(C25:C29)</f>
        <v/>
      </c>
      <c r="D30" s="26">
        <f>SUM(D25:D29)</f>
        <v/>
      </c>
      <c r="E30" s="26">
        <f>SUM(B30:D30)</f>
        <v/>
      </c>
    </row>
    <row r="32" ht="22" customHeight="1">
      <c r="A32" s="5" t="inlineStr">
        <is>
          <t>EBITDA</t>
        </is>
      </c>
      <c r="B32" s="6" t="n"/>
      <c r="C32" s="6" t="n"/>
      <c r="D32" s="6" t="n"/>
      <c r="E32" s="6" t="n"/>
    </row>
    <row r="33">
      <c r="A33" s="7" t="inlineStr">
        <is>
          <t>EBITDA</t>
        </is>
      </c>
      <c r="B33" s="26">
        <f>B21-B30</f>
        <v/>
      </c>
      <c r="C33" s="26">
        <f>C21-C30</f>
        <v/>
      </c>
      <c r="D33" s="26">
        <f>D21-D30</f>
        <v/>
      </c>
      <c r="E33" s="26">
        <f>SUM(B33:D33)</f>
        <v/>
      </c>
    </row>
    <row r="34">
      <c r="A34" s="7" t="inlineStr">
        <is>
          <t>EBITDA margin %</t>
        </is>
      </c>
      <c r="B34" s="19">
        <f>IFERROR(B33/B9,0)</f>
        <v/>
      </c>
      <c r="C34" s="19">
        <f>IFERROR(C33/C9,0)</f>
        <v/>
      </c>
      <c r="D34" s="19">
        <f>IFERROR(D33/D9,0)</f>
        <v/>
      </c>
    </row>
    <row r="37">
      <c r="A37" s="9" t="inlineStr">
        <is>
          <t>Pre-tax. Excludes IP/licensing upside.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PER-BOUT CONTRIBUTION MARGIN AT THREE AUDIENCE SCALES</t>
        </is>
      </c>
    </row>
    <row r="2" ht="32" customHeight="1">
      <c r="A2" s="2" t="inlineStr">
        <is>
          <t>Unit Economics — per bout</t>
        </is>
      </c>
    </row>
    <row r="4" ht="22" customHeight="1">
      <c r="A4" s="5" t="inlineStr"/>
      <c r="B4" s="16" t="inlineStr">
        <is>
          <t>Year 1 scale</t>
        </is>
      </c>
      <c r="C4" s="16" t="inlineStr">
        <is>
          <t>Year 2 scale</t>
        </is>
      </c>
      <c r="D4" s="16" t="inlineStr">
        <is>
          <t>Year 3 scale</t>
        </is>
      </c>
    </row>
    <row r="6">
      <c r="A6" s="7" t="inlineStr">
        <is>
          <t>Avg viewers / bout</t>
        </is>
      </c>
      <c r="B6" s="17">
        <f>Assumptions!B8</f>
        <v/>
      </c>
      <c r="C6" s="17">
        <f>Assumptions!C8</f>
        <v/>
      </c>
      <c r="D6" s="17">
        <f>Assumptions!D8</f>
        <v/>
      </c>
    </row>
    <row r="7">
      <c r="A7" s="7" t="inlineStr">
        <is>
          <t>Voters / bout</t>
        </is>
      </c>
      <c r="B7" s="17">
        <f>B6*Assumptions!B9</f>
        <v/>
      </c>
      <c r="C7" s="17">
        <f>C6*Assumptions!C9</f>
        <v/>
      </c>
      <c r="D7" s="17">
        <f>D6*Assumptions!D9</f>
        <v/>
      </c>
    </row>
    <row r="9" ht="22" customHeight="1">
      <c r="A9" s="23" t="inlineStr">
        <is>
          <t>REVENUE / BOUT</t>
        </is>
      </c>
      <c r="B9" s="24" t="n"/>
      <c r="C9" s="24" t="n"/>
      <c r="D9" s="24" t="n"/>
    </row>
    <row r="10">
      <c r="A10" s="7" t="inlineStr">
        <is>
          <t>Voting</t>
        </is>
      </c>
      <c r="B10" s="25">
        <f>B7*Assumptions!B10</f>
        <v/>
      </c>
      <c r="C10" s="25">
        <f>C7*Assumptions!C10</f>
        <v/>
      </c>
      <c r="D10" s="25">
        <f>D7*Assumptions!D10</f>
        <v/>
      </c>
    </row>
    <row r="11">
      <c r="A11" s="7" t="inlineStr">
        <is>
          <t>Sponsor share</t>
        </is>
      </c>
      <c r="B11" s="25">
        <f>Assumptions!B13*Assumptions!B14</f>
        <v/>
      </c>
      <c r="C11" s="25">
        <f>Assumptions!C13*Assumptions!C14</f>
        <v/>
      </c>
      <c r="D11" s="25">
        <f>Assumptions!D13*Assumptions!D14</f>
        <v/>
      </c>
    </row>
    <row r="12">
      <c r="A12" s="7" t="inlineStr">
        <is>
          <t>Total revenue / bout</t>
        </is>
      </c>
      <c r="B12" s="26">
        <f>SUM(B10:B11)</f>
        <v/>
      </c>
      <c r="C12" s="26">
        <f>SUM(C10:C11)</f>
        <v/>
      </c>
      <c r="D12" s="26">
        <f>SUM(D10:D11)</f>
        <v/>
      </c>
    </row>
    <row r="14" ht="22" customHeight="1">
      <c r="A14" s="20" t="inlineStr">
        <is>
          <t>VARIABLE COST / BOUT</t>
        </is>
      </c>
      <c r="B14" s="21" t="n"/>
      <c r="C14" s="21" t="n"/>
      <c r="D14" s="21" t="n"/>
    </row>
    <row r="15">
      <c r="A15" s="7" t="inlineStr">
        <is>
          <t>Mux delivery (live + replay)</t>
        </is>
      </c>
      <c r="B15" s="25">
        <f>B6*(Assumptions!B34+Assumptions!B35*Assumptions!B36)/60*Assumptions!B17</f>
        <v/>
      </c>
      <c r="C15" s="25">
        <f>C6*(Assumptions!C34+Assumptions!C35*Assumptions!C36)/60*Assumptions!C17</f>
        <v/>
      </c>
      <c r="D15" s="25">
        <f>D6*(Assumptions!D34+Assumptions!D35*Assumptions!D36)/60*Assumptions!D17</f>
        <v/>
      </c>
    </row>
    <row r="16">
      <c r="A16" s="7" t="inlineStr">
        <is>
          <t>Mux ingest</t>
        </is>
      </c>
      <c r="B16" s="25">
        <f>Assumptions!B18</f>
        <v/>
      </c>
      <c r="C16" s="25">
        <f>Assumptions!C18</f>
        <v/>
      </c>
      <c r="D16" s="25">
        <f>Assumptions!D18</f>
        <v/>
      </c>
    </row>
    <row r="17">
      <c r="A17" s="7" t="inlineStr">
        <is>
          <t>Stripe processing</t>
        </is>
      </c>
      <c r="B17" s="25">
        <f>B10*Assumptions!B19+B7*Assumptions!B20</f>
        <v/>
      </c>
      <c r="C17" s="25">
        <f>C10*Assumptions!C19+C7*Assumptions!C20</f>
        <v/>
      </c>
      <c r="D17" s="25">
        <f>D10*Assumptions!D19+D7*Assumptions!D20</f>
        <v/>
      </c>
    </row>
    <row r="18">
      <c r="A18" s="7" t="inlineStr">
        <is>
          <t>Charity payout</t>
        </is>
      </c>
      <c r="B18" s="25">
        <f>B10*Assumptions!B21</f>
        <v/>
      </c>
      <c r="C18" s="25">
        <f>C10*Assumptions!C21</f>
        <v/>
      </c>
      <c r="D18" s="25">
        <f>D10*Assumptions!D21</f>
        <v/>
      </c>
    </row>
    <row r="19">
      <c r="A19" s="7" t="inlineStr">
        <is>
          <t>Debater honorariums</t>
        </is>
      </c>
      <c r="B19" s="25">
        <f>Assumptions!B22</f>
        <v/>
      </c>
      <c r="C19" s="25">
        <f>Assumptions!C22</f>
        <v/>
      </c>
      <c r="D19" s="25">
        <f>Assumptions!D22</f>
        <v/>
      </c>
    </row>
    <row r="20">
      <c r="A20" s="7" t="inlineStr">
        <is>
          <t>Production</t>
        </is>
      </c>
      <c r="B20" s="25">
        <f>Assumptions!B23</f>
        <v/>
      </c>
      <c r="C20" s="25">
        <f>Assumptions!C23</f>
        <v/>
      </c>
      <c r="D20" s="25">
        <f>Assumptions!D23</f>
        <v/>
      </c>
    </row>
    <row r="21">
      <c r="A21" s="7" t="inlineStr">
        <is>
          <t>Total variable cost / bout</t>
        </is>
      </c>
      <c r="B21" s="26">
        <f>SUM(B15:B20)</f>
        <v/>
      </c>
      <c r="C21" s="26">
        <f>SUM(C15:C20)</f>
        <v/>
      </c>
      <c r="D21" s="26">
        <f>SUM(D15:D20)</f>
        <v/>
      </c>
    </row>
    <row r="23" ht="22" customHeight="1">
      <c r="A23" s="5" t="inlineStr">
        <is>
          <t>CONTRIBUTION MARGIN / BOUT</t>
        </is>
      </c>
      <c r="B23" s="6" t="n"/>
      <c r="C23" s="6" t="n"/>
      <c r="D23" s="6" t="n"/>
    </row>
    <row r="24">
      <c r="A24" s="7" t="inlineStr">
        <is>
          <t>Contribution $</t>
        </is>
      </c>
      <c r="B24" s="26">
        <f>B12-B21</f>
        <v/>
      </c>
      <c r="C24" s="26">
        <f>C12-C21</f>
        <v/>
      </c>
      <c r="D24" s="26">
        <f>D12-D21</f>
        <v/>
      </c>
    </row>
    <row r="25">
      <c r="A25" s="7" t="inlineStr">
        <is>
          <t>Contribution %</t>
        </is>
      </c>
      <c r="B25" s="19">
        <f>IFERROR(B24/B12,0)</f>
        <v/>
      </c>
      <c r="C25" s="19">
        <f>IFERROR(C24/C12,0)</f>
        <v/>
      </c>
      <c r="D25" s="19">
        <f>IFERROR(D24/D12,0)</f>
        <v/>
      </c>
    </row>
    <row r="27">
      <c r="A27" s="9" t="inlineStr">
        <is>
          <t>Excludes fixed opex. See P&amp;L tab for full picture.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2026-05-09T17:33:59Z</dcterms:created>
  <dcterms:modified xsi:type="dcterms:W3CDTF">2026-05-09T17:33:59Z</dcterms:modified>
</cp:coreProperties>
</file>